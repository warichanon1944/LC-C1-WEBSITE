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469696\0_Share_PON\18 - งานน้องเอิร์ท\ไฟท์ทำ SKED THAI\"/>
    </mc:Choice>
  </mc:AlternateContent>
  <xr:revisionPtr revIDLastSave="0" documentId="13_ncr:1_{2FF6F094-01A5-4905-BFD8-DC984F1EB666}" xr6:coauthVersionLast="47" xr6:coauthVersionMax="47" xr10:uidLastSave="{00000000-0000-0000-0000-000000000000}"/>
  <bookViews>
    <workbookView xWindow="28680" yWindow="-120" windowWidth="29040" windowHeight="15720" firstSheet="2" activeTab="3" xr2:uid="{00000000-000D-0000-FFFF-FFFF00000000}"/>
  </bookViews>
  <sheets>
    <sheet name="Sheet1" sheetId="1" r:id="rId1"/>
    <sheet name="00" sheetId="2" r:id="rId2"/>
    <sheet name="รวมสูตร" sheetId="3" r:id="rId3"/>
    <sheet name="TD114 - 2026-03-29T171836 956" sheetId="10" r:id="rId4"/>
    <sheet name="Sheet2" sheetId="4" r:id="rId5"/>
    <sheet name="Sheet3" sheetId="5" r:id="rId6"/>
  </sheets>
  <definedNames>
    <definedName name="_xlnm._FilterDatabase" localSheetId="4" hidden="1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7" i="3" l="1"/>
  <c r="E7" i="3" l="1"/>
  <c r="U34" i="3"/>
  <c r="H34" i="3"/>
  <c r="E32" i="3" l="1"/>
  <c r="F32" i="3"/>
  <c r="G32" i="3"/>
  <c r="H32" i="3"/>
  <c r="E33" i="3"/>
  <c r="F33" i="3"/>
  <c r="G33" i="3"/>
  <c r="H33" i="3"/>
  <c r="E34" i="3"/>
  <c r="F34" i="3"/>
  <c r="G34" i="3"/>
  <c r="R8" i="3" l="1"/>
  <c r="H31" i="3" l="1"/>
  <c r="G31" i="3"/>
  <c r="F31" i="3"/>
  <c r="E31" i="3"/>
  <c r="R31" i="3" l="1"/>
  <c r="S31" i="3"/>
  <c r="T31" i="3"/>
  <c r="U31" i="3"/>
  <c r="U33" i="3" l="1"/>
  <c r="T33" i="3"/>
  <c r="S33" i="3"/>
  <c r="R33" i="3"/>
  <c r="H30" i="3" l="1"/>
  <c r="G30" i="3"/>
  <c r="F30" i="3"/>
  <c r="E30" i="3"/>
  <c r="H29" i="3" l="1"/>
  <c r="G29" i="3"/>
  <c r="F29" i="3"/>
  <c r="E29" i="3"/>
  <c r="H28" i="3" l="1"/>
  <c r="G28" i="3"/>
  <c r="F28" i="3"/>
  <c r="E28" i="3"/>
  <c r="U32" i="3" l="1"/>
  <c r="T32" i="3"/>
  <c r="S32" i="3"/>
  <c r="R32" i="3"/>
  <c r="U30" i="3"/>
  <c r="T30" i="3"/>
  <c r="S30" i="3"/>
  <c r="R30" i="3"/>
  <c r="U29" i="3"/>
  <c r="T29" i="3"/>
  <c r="S29" i="3"/>
  <c r="R29" i="3"/>
  <c r="U28" i="3"/>
  <c r="T28" i="3"/>
  <c r="S28" i="3"/>
  <c r="R28" i="3"/>
  <c r="U27" i="3"/>
  <c r="T27" i="3"/>
  <c r="S27" i="3"/>
  <c r="R27" i="3"/>
  <c r="U26" i="3"/>
  <c r="T26" i="3"/>
  <c r="S26" i="3"/>
  <c r="R26" i="3"/>
  <c r="U25" i="3"/>
  <c r="T25" i="3"/>
  <c r="S25" i="3"/>
  <c r="R25" i="3"/>
  <c r="U24" i="3"/>
  <c r="T24" i="3"/>
  <c r="S24" i="3"/>
  <c r="R24" i="3"/>
  <c r="U23" i="3"/>
  <c r="T23" i="3"/>
  <c r="S23" i="3"/>
  <c r="R23" i="3"/>
  <c r="U22" i="3"/>
  <c r="T22" i="3"/>
  <c r="S22" i="3"/>
  <c r="R22" i="3"/>
  <c r="U21" i="3"/>
  <c r="T21" i="3"/>
  <c r="S21" i="3"/>
  <c r="R21" i="3"/>
  <c r="U20" i="3"/>
  <c r="T20" i="3"/>
  <c r="S20" i="3"/>
  <c r="R20" i="3"/>
  <c r="U19" i="3"/>
  <c r="T19" i="3"/>
  <c r="S19" i="3"/>
  <c r="R19" i="3"/>
  <c r="U18" i="3"/>
  <c r="T18" i="3"/>
  <c r="S18" i="3"/>
  <c r="R18" i="3"/>
  <c r="U17" i="3"/>
  <c r="T17" i="3"/>
  <c r="S17" i="3"/>
  <c r="R17" i="3"/>
  <c r="U16" i="3"/>
  <c r="T16" i="3"/>
  <c r="S16" i="3"/>
  <c r="R16" i="3"/>
  <c r="U15" i="3"/>
  <c r="T15" i="3"/>
  <c r="S15" i="3"/>
  <c r="R15" i="3"/>
  <c r="U14" i="3"/>
  <c r="T14" i="3"/>
  <c r="S14" i="3"/>
  <c r="R14" i="3"/>
  <c r="U13" i="3"/>
  <c r="T13" i="3"/>
  <c r="S13" i="3"/>
  <c r="R13" i="3"/>
  <c r="U12" i="3"/>
  <c r="T12" i="3"/>
  <c r="S12" i="3"/>
  <c r="R12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6" i="3"/>
  <c r="G16" i="3"/>
  <c r="F16" i="3"/>
  <c r="E16" i="3"/>
  <c r="H15" i="3"/>
  <c r="G15" i="3"/>
  <c r="F15" i="3"/>
  <c r="E15" i="3"/>
  <c r="H14" i="3"/>
  <c r="G14" i="3"/>
  <c r="F14" i="3"/>
  <c r="E14" i="3"/>
  <c r="H13" i="3"/>
  <c r="G13" i="3"/>
  <c r="F13" i="3"/>
  <c r="E13" i="3"/>
  <c r="H12" i="3"/>
  <c r="G12" i="3"/>
  <c r="F12" i="3"/>
  <c r="E12" i="3"/>
  <c r="U11" i="3" l="1"/>
  <c r="T11" i="3"/>
  <c r="S11" i="3"/>
  <c r="R11" i="3"/>
  <c r="U10" i="3"/>
  <c r="T10" i="3"/>
  <c r="S10" i="3"/>
  <c r="R10" i="3"/>
  <c r="U9" i="3"/>
  <c r="T9" i="3"/>
  <c r="S9" i="3"/>
  <c r="R9" i="3"/>
  <c r="U8" i="3"/>
  <c r="T8" i="3"/>
  <c r="S8" i="3"/>
  <c r="U7" i="3"/>
  <c r="S7" i="3"/>
  <c r="R7" i="3"/>
  <c r="H11" i="3" l="1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H4" i="3" l="1"/>
  <c r="H5" i="3"/>
  <c r="H3" i="3" l="1"/>
  <c r="U3" i="3" l="1"/>
  <c r="U2" i="3"/>
  <c r="T3" i="3" l="1"/>
  <c r="S3" i="3"/>
  <c r="R3" i="3"/>
  <c r="T2" i="3" l="1"/>
  <c r="S2" i="3" l="1"/>
  <c r="R2" i="3"/>
  <c r="E2" i="3" l="1"/>
  <c r="F2" i="3"/>
  <c r="G2" i="3"/>
  <c r="E3" i="3"/>
  <c r="F3" i="3"/>
  <c r="G3" i="3"/>
  <c r="E4" i="3"/>
  <c r="F4" i="3"/>
  <c r="G4" i="3"/>
  <c r="E5" i="3"/>
  <c r="F5" i="3"/>
  <c r="G5" i="3"/>
  <c r="D4" i="2" l="1"/>
  <c r="C4" i="2"/>
  <c r="D3" i="2"/>
  <c r="C3" i="2"/>
  <c r="D2" i="2"/>
  <c r="C2" i="2"/>
  <c r="D1" i="2"/>
  <c r="C1" i="2"/>
  <c r="D12" i="1" l="1"/>
  <c r="C12" i="1"/>
  <c r="D65" i="1"/>
  <c r="C65" i="1"/>
  <c r="D59" i="1"/>
  <c r="C59" i="1"/>
  <c r="D55" i="1"/>
  <c r="C55" i="1"/>
  <c r="D51" i="1"/>
  <c r="C51" i="1"/>
  <c r="D46" i="1"/>
  <c r="C46" i="1"/>
  <c r="D43" i="1"/>
  <c r="C43" i="1"/>
  <c r="D39" i="1"/>
  <c r="C39" i="1"/>
  <c r="D35" i="1"/>
  <c r="C35" i="1"/>
  <c r="D31" i="1"/>
  <c r="C31" i="1"/>
  <c r="D26" i="1"/>
  <c r="C26" i="1"/>
  <c r="D23" i="1"/>
  <c r="C23" i="1"/>
  <c r="D19" i="1"/>
  <c r="C19" i="1"/>
  <c r="D16" i="1"/>
  <c r="C16" i="1"/>
  <c r="D8" i="1"/>
  <c r="C8" i="1"/>
  <c r="D4" i="1"/>
  <c r="D69" i="1"/>
  <c r="C69" i="1"/>
  <c r="D66" i="1"/>
  <c r="C66" i="1"/>
  <c r="D56" i="1"/>
  <c r="C56" i="1"/>
  <c r="D52" i="1"/>
  <c r="C52" i="1"/>
  <c r="D47" i="1"/>
  <c r="C47" i="1"/>
  <c r="D44" i="1"/>
  <c r="C44" i="1"/>
  <c r="D36" i="1"/>
  <c r="C36" i="1"/>
  <c r="D32" i="1"/>
  <c r="C32" i="1"/>
  <c r="D27" i="1"/>
  <c r="C27" i="1"/>
  <c r="D24" i="1"/>
  <c r="C24" i="1"/>
  <c r="D20" i="1"/>
  <c r="C20" i="1"/>
  <c r="D17" i="1"/>
  <c r="C17" i="1"/>
  <c r="D13" i="1"/>
  <c r="C13" i="1"/>
  <c r="D71" i="1"/>
  <c r="C71" i="1"/>
  <c r="D70" i="1"/>
  <c r="C70" i="1"/>
  <c r="D68" i="1"/>
  <c r="C68" i="1"/>
  <c r="D67" i="1"/>
  <c r="C67" i="1"/>
  <c r="D64" i="1"/>
  <c r="C64" i="1"/>
  <c r="D63" i="1"/>
  <c r="C63" i="1"/>
  <c r="D62" i="1"/>
  <c r="C62" i="1"/>
  <c r="D61" i="1"/>
  <c r="C61" i="1"/>
  <c r="D60" i="1"/>
  <c r="C60" i="1"/>
  <c r="D58" i="1"/>
  <c r="C58" i="1"/>
  <c r="D57" i="1"/>
  <c r="C57" i="1"/>
  <c r="D54" i="1"/>
  <c r="C54" i="1"/>
  <c r="D53" i="1"/>
  <c r="C53" i="1"/>
  <c r="D50" i="1"/>
  <c r="C50" i="1"/>
  <c r="D49" i="1"/>
  <c r="C49" i="1"/>
  <c r="D48" i="1"/>
  <c r="C48" i="1"/>
  <c r="D45" i="1"/>
  <c r="C45" i="1"/>
  <c r="D42" i="1"/>
  <c r="C42" i="1"/>
  <c r="D41" i="1"/>
  <c r="C41" i="1"/>
  <c r="D40" i="1"/>
  <c r="C40" i="1"/>
  <c r="D38" i="1"/>
  <c r="C38" i="1"/>
  <c r="D37" i="1"/>
  <c r="C37" i="1"/>
  <c r="D34" i="1"/>
  <c r="C34" i="1"/>
  <c r="D33" i="1"/>
  <c r="C33" i="1"/>
  <c r="D30" i="1"/>
  <c r="C30" i="1"/>
  <c r="D29" i="1"/>
  <c r="C29" i="1"/>
  <c r="D28" i="1"/>
  <c r="C28" i="1"/>
  <c r="D25" i="1"/>
  <c r="C25" i="1"/>
  <c r="D22" i="1"/>
  <c r="C22" i="1"/>
  <c r="D21" i="1"/>
  <c r="C21" i="1"/>
  <c r="D18" i="1"/>
  <c r="C18" i="1"/>
  <c r="D15" i="1"/>
  <c r="C15" i="1"/>
  <c r="D14" i="1"/>
  <c r="C14" i="1"/>
  <c r="C4" i="1"/>
  <c r="D9" i="1"/>
  <c r="C9" i="1"/>
  <c r="D5" i="1"/>
  <c r="C5" i="1"/>
  <c r="D1" i="1"/>
  <c r="C1" i="1"/>
  <c r="D11" i="1"/>
  <c r="C11" i="1"/>
  <c r="D10" i="1"/>
  <c r="C10" i="1"/>
  <c r="D7" i="1"/>
  <c r="C7" i="1"/>
  <c r="D6" i="1"/>
  <c r="C6" i="1"/>
  <c r="D3" i="1"/>
  <c r="C3" i="1"/>
  <c r="D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82D7F9-4E31-48DD-96E4-3875668DB6B8}" keepAlive="1" name="Query - TD114 - 2026-03-29T171836 956" description="Connection to the 'TD114 - 2026-03-29T171836 956' query in the workbook." type="5" refreshedVersion="0" background="1">
    <dbPr connection="Provider=Microsoft.Mashup.OleDb.1;Data Source=$Workbook$;Location=&quot;TD114 - 2026-03-29T171836 956&quot;;Extended Properties=&quot;&quot;" command="SELECT * FROM [TD114 - 2026-03-29T171836 956]"/>
  </connection>
</connections>
</file>

<file path=xl/sharedStrings.xml><?xml version="1.0" encoding="utf-8"?>
<sst xmlns="http://schemas.openxmlformats.org/spreadsheetml/2006/main" count="1394" uniqueCount="212">
  <si>
    <t>WE130 0810</t>
  </si>
  <si>
    <t>WE131 1150 WE004 1230</t>
  </si>
  <si>
    <t>WE005 1520 WE584 1825</t>
  </si>
  <si>
    <t>WE585 2200</t>
  </si>
  <si>
    <t>WE285 0930</t>
  </si>
  <si>
    <t>WE286 1310 WE044 1410</t>
  </si>
  <si>
    <t>WE045 1640 WE211 1855</t>
  </si>
  <si>
    <t>WE212 2235</t>
  </si>
  <si>
    <t>WE560 0740</t>
  </si>
  <si>
    <t>WE561 1230 WE283 1505</t>
  </si>
  <si>
    <t>WE284 1845 WE046 1925</t>
  </si>
  <si>
    <t>WE047 2155</t>
  </si>
  <si>
    <t>TXB</t>
  </si>
  <si>
    <t>TXC</t>
  </si>
  <si>
    <t>TXD</t>
  </si>
  <si>
    <t>WE201 0800</t>
  </si>
  <si>
    <t>WE202 1130 WE263 1230</t>
  </si>
  <si>
    <t>WE264 1615 WE303 1705</t>
  </si>
  <si>
    <t>WE304 2100</t>
  </si>
  <si>
    <t>WE586 0730</t>
  </si>
  <si>
    <t>WE587 1055 WE688 1155</t>
  </si>
  <si>
    <t>WE689 1945</t>
  </si>
  <si>
    <t>WE550 0740</t>
  </si>
  <si>
    <t>WE551 1150 WE209 1300</t>
  </si>
  <si>
    <t>WE210 1640 WE008 1755</t>
  </si>
  <si>
    <t>WE009 2050</t>
  </si>
  <si>
    <t>WE110 1330</t>
  </si>
  <si>
    <t>WE111 1650 WE217 1735</t>
  </si>
  <si>
    <t>WE218 2110</t>
  </si>
  <si>
    <t>WE002 0650</t>
  </si>
  <si>
    <t>WE003 0930 WE104 1010</t>
  </si>
  <si>
    <t>WE105 1330 WE164 1505</t>
  </si>
  <si>
    <t>WE165 1825 WE120 1905</t>
  </si>
  <si>
    <t>WE121 2225</t>
  </si>
  <si>
    <t>WE259 0635</t>
  </si>
  <si>
    <t>WE260 1020 WE203 1100</t>
  </si>
  <si>
    <t>WE204 1440 WE556 1735</t>
  </si>
  <si>
    <t>WE557 2145</t>
  </si>
  <si>
    <t>WE576 0845</t>
  </si>
  <si>
    <t>WE577 1255 WE112 1405</t>
  </si>
  <si>
    <t>WE113 1730 WE249 1825</t>
  </si>
  <si>
    <t>WE250 2145</t>
  </si>
  <si>
    <t>WE344 0815 WE251 0905</t>
  </si>
  <si>
    <t>WE252 1210 WE291 1250</t>
  </si>
  <si>
    <t>WE292 1635 WE028 1800</t>
  </si>
  <si>
    <t>WE029 2045</t>
  </si>
  <si>
    <t>WE241 0735</t>
  </si>
  <si>
    <t>WE242 1050 WE136 1850</t>
  </si>
  <si>
    <t>WE137 2215</t>
  </si>
  <si>
    <t>WE020 0700</t>
  </si>
  <si>
    <t>WE021 0945 WE042 1025</t>
  </si>
  <si>
    <t>WE043 1255 WE215 1355</t>
  </si>
  <si>
    <t>WE216 1735 WE221 1815</t>
  </si>
  <si>
    <t>WE222 2155</t>
  </si>
  <si>
    <t>WE100 0630</t>
  </si>
  <si>
    <t>WE101 0950 WE570 1125</t>
  </si>
  <si>
    <t>WE571 1435 WE564 1725</t>
  </si>
  <si>
    <t>WE565 2220</t>
  </si>
  <si>
    <t>WE289 0740</t>
  </si>
  <si>
    <t>WE290 1120 WE132 1225</t>
  </si>
  <si>
    <t>WE133 1555 WE574 1830</t>
  </si>
  <si>
    <t>WE575 2140</t>
  </si>
  <si>
    <t>WE342 0700 WE588 0745</t>
  </si>
  <si>
    <t>WE589 1055 WE327 1220</t>
  </si>
  <si>
    <t>WE328 1935 WE343 2205</t>
  </si>
  <si>
    <t>WE426 0850 WE301 0940</t>
  </si>
  <si>
    <t>WE302 1325 WE267 1835</t>
  </si>
  <si>
    <t>WE268 2220</t>
  </si>
  <si>
    <t>WE040 0700</t>
  </si>
  <si>
    <t>WE041 0930 WE319 1015</t>
  </si>
  <si>
    <t>WE320 1815 WE341 2030</t>
  </si>
  <si>
    <t>WE102 0725</t>
  </si>
  <si>
    <t>WE103 1050 WE207 1130</t>
  </si>
  <si>
    <t>WE208 1510 WE425 1920</t>
  </si>
  <si>
    <t>TXE</t>
  </si>
  <si>
    <t>TXF</t>
  </si>
  <si>
    <t>TXG</t>
  </si>
  <si>
    <t>TXH</t>
  </si>
  <si>
    <t>TXJ</t>
  </si>
  <si>
    <t>TXK</t>
  </si>
  <si>
    <t>TXL</t>
  </si>
  <si>
    <t>TXM</t>
  </si>
  <si>
    <t>TXN</t>
  </si>
  <si>
    <t>TXO</t>
  </si>
  <si>
    <t>TXP</t>
  </si>
  <si>
    <t>TXQ</t>
  </si>
  <si>
    <t>TXR</t>
  </si>
  <si>
    <t>TXS</t>
  </si>
  <si>
    <t>TXT</t>
  </si>
  <si>
    <t>TXU</t>
  </si>
  <si>
    <t>สูตร ลง/ออก</t>
  </si>
  <si>
    <t>สูตร ลงนอน</t>
  </si>
  <si>
    <t>สูตร จอดแล้วออก</t>
  </si>
  <si>
    <r>
      <t>ตอนวางในOAF  ให้วางแบบ</t>
    </r>
    <r>
      <rPr>
        <b/>
        <sz val="11"/>
        <color rgb="FFFF0000"/>
        <rFont val="Calibri"/>
        <family val="2"/>
        <scheme val="minor"/>
      </rPr>
      <t>123</t>
    </r>
  </si>
  <si>
    <t xml:space="preserve">TG318/321   </t>
  </si>
  <si>
    <t xml:space="preserve">0505/1055   </t>
  </si>
  <si>
    <t xml:space="preserve">TJV    </t>
  </si>
  <si>
    <t xml:space="preserve">TG661/403   </t>
  </si>
  <si>
    <t xml:space="preserve">0525/0800   </t>
  </si>
  <si>
    <t xml:space="preserve">TEO    </t>
  </si>
  <si>
    <t xml:space="preserve">TG462/624   </t>
  </si>
  <si>
    <t xml:space="preserve">0540/1355   </t>
  </si>
  <si>
    <t xml:space="preserve">THE    </t>
  </si>
  <si>
    <t xml:space="preserve">TG961/461   </t>
  </si>
  <si>
    <t xml:space="preserve">0545/0820   </t>
  </si>
  <si>
    <t xml:space="preserve">THN    </t>
  </si>
  <si>
    <r>
      <t>ตอนวางในOAF  ให้วางแบบ</t>
    </r>
    <r>
      <rPr>
        <b/>
        <sz val="15"/>
        <color rgb="FFFF0000"/>
        <rFont val="CordiaUPC"/>
        <family val="2"/>
      </rPr>
      <t>123</t>
    </r>
  </si>
  <si>
    <t>77E</t>
  </si>
  <si>
    <t>BKK</t>
  </si>
  <si>
    <t>35A</t>
  </si>
  <si>
    <t>77W</t>
  </si>
  <si>
    <t>สูตร ออกเช้า</t>
  </si>
  <si>
    <r>
      <t>สูตร TG เครื่อง</t>
    </r>
    <r>
      <rPr>
        <b/>
        <sz val="35"/>
        <color rgb="FF0000FF"/>
        <rFont val="CordiaUPC"/>
        <family val="2"/>
      </rPr>
      <t>ออก</t>
    </r>
    <r>
      <rPr>
        <b/>
        <sz val="30"/>
        <color theme="1"/>
        <rFont val="CordiaUPC"/>
        <family val="2"/>
      </rPr>
      <t xml:space="preserve">เช้าอีกวัน </t>
    </r>
  </si>
  <si>
    <r>
      <t>สูตร TG เครื่อง</t>
    </r>
    <r>
      <rPr>
        <b/>
        <sz val="35"/>
        <color rgb="FF0000FF"/>
        <rFont val="CordiaUPC"/>
        <family val="2"/>
      </rPr>
      <t>ลง</t>
    </r>
    <r>
      <rPr>
        <b/>
        <sz val="30"/>
        <color theme="1"/>
        <rFont val="CordiaUPC"/>
        <family val="2"/>
      </rPr>
      <t xml:space="preserve">เช้าอีกวัน </t>
    </r>
  </si>
  <si>
    <t>32X</t>
  </si>
  <si>
    <t>J</t>
  </si>
  <si>
    <t>78W</t>
  </si>
  <si>
    <t>33C</t>
  </si>
  <si>
    <t>77B</t>
  </si>
  <si>
    <t>35B</t>
  </si>
  <si>
    <t>77Y</t>
  </si>
  <si>
    <t>UTH</t>
  </si>
  <si>
    <t>null</t>
  </si>
  <si>
    <t>UBP</t>
  </si>
  <si>
    <t>KKC</t>
  </si>
  <si>
    <t>CNX</t>
  </si>
  <si>
    <t>CEI</t>
  </si>
  <si>
    <t>HKT</t>
  </si>
  <si>
    <t>KBV</t>
  </si>
  <si>
    <t>32W</t>
  </si>
  <si>
    <t>HDY</t>
  </si>
  <si>
    <t>RGN</t>
  </si>
  <si>
    <t>CMB</t>
  </si>
  <si>
    <t>KTM</t>
  </si>
  <si>
    <t>CCU</t>
  </si>
  <si>
    <t>DEL</t>
  </si>
  <si>
    <t>BOM</t>
  </si>
  <si>
    <t>DAC</t>
  </si>
  <si>
    <t>BLR</t>
  </si>
  <si>
    <t>HYD</t>
  </si>
  <si>
    <t>MAA</t>
  </si>
  <si>
    <t>AMD</t>
  </si>
  <si>
    <t>35C</t>
  </si>
  <si>
    <t>33R</t>
  </si>
  <si>
    <t>SIN</t>
  </si>
  <si>
    <t>KUL</t>
  </si>
  <si>
    <t>PEN</t>
  </si>
  <si>
    <t>DPS</t>
  </si>
  <si>
    <t>CGK</t>
  </si>
  <si>
    <t>MEL</t>
  </si>
  <si>
    <t>SYD</t>
  </si>
  <si>
    <t>35D</t>
  </si>
  <si>
    <t>PER</t>
  </si>
  <si>
    <t>SGN</t>
  </si>
  <si>
    <t>HAN</t>
  </si>
  <si>
    <t>VTE</t>
  </si>
  <si>
    <t>KTI</t>
  </si>
  <si>
    <t>HKG</t>
  </si>
  <si>
    <t>KMG</t>
  </si>
  <si>
    <t>PEK</t>
  </si>
  <si>
    <t>TFU</t>
  </si>
  <si>
    <t>MNL</t>
  </si>
  <si>
    <t>KIX</t>
  </si>
  <si>
    <t>KHH</t>
  </si>
  <si>
    <t>TPE</t>
  </si>
  <si>
    <t>NRT</t>
  </si>
  <si>
    <t>NGO</t>
  </si>
  <si>
    <t>FUK</t>
  </si>
  <si>
    <t>ICN</t>
  </si>
  <si>
    <t>HND</t>
  </si>
  <si>
    <t>PVG</t>
  </si>
  <si>
    <t>CAN</t>
  </si>
  <si>
    <t>CTS</t>
  </si>
  <si>
    <t>IST</t>
  </si>
  <si>
    <t>LHR</t>
  </si>
  <si>
    <t>FRA</t>
  </si>
  <si>
    <t>MUC</t>
  </si>
  <si>
    <t>CDG</t>
  </si>
  <si>
    <t>BRU</t>
  </si>
  <si>
    <t>MXP</t>
  </si>
  <si>
    <t>CPH</t>
  </si>
  <si>
    <t>OSL</t>
  </si>
  <si>
    <t>ARN</t>
  </si>
  <si>
    <t>ZRH</t>
  </si>
  <si>
    <t>LHE</t>
  </si>
  <si>
    <t>HSTOA  32W</t>
  </si>
  <si>
    <t>HSTEV  33C</t>
  </si>
  <si>
    <t>HSTHR  35C</t>
  </si>
  <si>
    <t>HSTXS  32X</t>
  </si>
  <si>
    <t>HSTXU  32X</t>
  </si>
  <si>
    <t>HSTHE  359</t>
  </si>
  <si>
    <t>HSTXQ  32X</t>
  </si>
  <si>
    <t>ISB</t>
  </si>
  <si>
    <t>HSTXG  32X</t>
  </si>
  <si>
    <t>HSTXE  32X</t>
  </si>
  <si>
    <t>HSTOB  32W</t>
  </si>
  <si>
    <t>HSTHL  359</t>
  </si>
  <si>
    <t>HSTXP  32X</t>
  </si>
  <si>
    <t>HSTXH  32X</t>
  </si>
  <si>
    <t>HSTXF  32X</t>
  </si>
  <si>
    <t>HSTXM  32X</t>
  </si>
  <si>
    <t>HSTHB  359</t>
  </si>
  <si>
    <t>HSTEN  33R</t>
  </si>
  <si>
    <t>HSTHG  359</t>
  </si>
  <si>
    <t>HSTTA  77Y</t>
  </si>
  <si>
    <t>HSTHX  35D</t>
  </si>
  <si>
    <t>HSTKV  77B</t>
  </si>
  <si>
    <t>HSTQF  788</t>
  </si>
  <si>
    <t>HSTWD  78W</t>
  </si>
  <si>
    <t>HSTKN  77B</t>
  </si>
  <si>
    <t>HSTHF  359</t>
  </si>
  <si>
    <t>HSTKO  77B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</si>
</sst>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name val="Cordia New"/>
      <family val="2"/>
    </font>
    <font>
      <b/>
      <sz val="15"/>
      <name val="CordiaUPC"/>
      <family val="2"/>
    </font>
    <font>
      <b/>
      <sz val="15"/>
      <color rgb="FFFF0000"/>
      <name val="CordiaUPC"/>
      <family val="2"/>
    </font>
    <font>
      <b/>
      <sz val="15"/>
      <color theme="1"/>
      <name val="CordiaUPC"/>
      <family val="2"/>
    </font>
    <font>
      <b/>
      <sz val="30"/>
      <color theme="1"/>
      <name val="CordiaUPC"/>
      <family val="2"/>
    </font>
    <font>
      <b/>
      <sz val="35"/>
      <color rgb="FF0000FF"/>
      <name val="CordiaUPC"/>
      <family val="2"/>
    </font>
    <font>
      <b/>
      <sz val="15"/>
      <color theme="1"/>
      <name val="Cordia Ne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0" borderId="0" xfId="0" applyFont="1" applyFill="1" applyAlignment="1">
      <alignment vertical="center"/>
    </xf>
    <xf numFmtId="0" fontId="0" fillId="0" borderId="0" xfId="0" applyFont="1" applyFill="1"/>
    <xf numFmtId="0" fontId="3" fillId="0" borderId="0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>
      <alignment vertical="center"/>
    </xf>
    <xf numFmtId="0" fontId="5" fillId="0" borderId="0" xfId="0" applyFont="1"/>
    <xf numFmtId="0" fontId="5" fillId="4" borderId="0" xfId="0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6" borderId="0" xfId="0" applyFont="1" applyFill="1"/>
    <xf numFmtId="0" fontId="5" fillId="0" borderId="0" xfId="0" applyFont="1" applyAlignment="1">
      <alignment horizontal="left"/>
    </xf>
    <xf numFmtId="15" fontId="5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4" fillId="2" borderId="0" xfId="0" applyFont="1" applyFill="1"/>
    <xf numFmtId="0" fontId="5" fillId="0" borderId="0" xfId="0" applyNumberFormat="1" applyFont="1"/>
    <xf numFmtId="0" fontId="5" fillId="10" borderId="0" xfId="0" applyFont="1" applyFill="1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3" fillId="7" borderId="0" xfId="1" applyFont="1" applyFill="1" applyAlignment="1">
      <alignment vertical="center"/>
    </xf>
    <xf numFmtId="0" fontId="5" fillId="0" borderId="0" xfId="0" applyNumberFormat="1" applyFont="1" applyAlignment="1">
      <alignment horizontal="left"/>
    </xf>
    <xf numFmtId="0" fontId="5" fillId="10" borderId="0" xfId="0" applyFont="1" applyFill="1" applyAlignment="1">
      <alignment horizontal="left"/>
    </xf>
    <xf numFmtId="0" fontId="5" fillId="2" borderId="0" xfId="0" applyNumberFormat="1" applyFont="1" applyFill="1" applyAlignment="1">
      <alignment horizontal="left"/>
    </xf>
    <xf numFmtId="15" fontId="8" fillId="0" borderId="0" xfId="0" applyNumberFormat="1" applyFont="1" applyAlignment="1">
      <alignment horizontal="left"/>
    </xf>
    <xf numFmtId="15" fontId="0" fillId="0" borderId="0" xfId="0" applyNumberFormat="1"/>
    <xf numFmtId="0" fontId="0" fillId="0" borderId="0" xfId="0" applyNumberFormat="1"/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</cellXfs>
  <cellStyles count="2">
    <cellStyle name="Normal" xfId="0" builtinId="0"/>
    <cellStyle name="Normal_summer 06" xfId="1" xr:uid="{00000000-0005-0000-0000-000001000000}"/>
  </cellStyles>
  <dxfs count="7"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9999FF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9999FF"/>
      <color rgb="FF0000FF"/>
      <color rgb="FF9966FF"/>
      <color rgb="FFFF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opLeftCell="A34" workbookViewId="0">
      <selection activeCell="E12" sqref="E12"/>
    </sheetView>
  </sheetViews>
  <sheetFormatPr defaultRowHeight="15" x14ac:dyDescent="0.25"/>
  <cols>
    <col min="1" max="1" width="22.42578125" bestFit="1" customWidth="1"/>
    <col min="3" max="3" width="19" customWidth="1"/>
    <col min="4" max="4" width="15.28515625" customWidth="1"/>
  </cols>
  <sheetData>
    <row r="1" spans="1:5" x14ac:dyDescent="0.25">
      <c r="A1" s="2" t="s">
        <v>0</v>
      </c>
      <c r="C1" t="str">
        <f>"WE - /"&amp;MID(A1,3,3)</f>
        <v>WE - /130</v>
      </c>
      <c r="D1" t="str">
        <f>" -  /"&amp;RIGHT(A1,4)</f>
        <v xml:space="preserve"> -  /0810</v>
      </c>
      <c r="E1" t="s">
        <v>12</v>
      </c>
    </row>
    <row r="2" spans="1:5" x14ac:dyDescent="0.25">
      <c r="A2" s="2" t="s">
        <v>1</v>
      </c>
      <c r="C2" t="str">
        <f>LEFT(A2,5)&amp;"/"&amp;MID(A2,14,3)</f>
        <v>WE131/004</v>
      </c>
      <c r="D2" t="str">
        <f>MID(A2,7,4)&amp;"/"&amp;RIGHT(A2,4)</f>
        <v>1150/1230</v>
      </c>
      <c r="E2" t="s">
        <v>12</v>
      </c>
    </row>
    <row r="3" spans="1:5" x14ac:dyDescent="0.25">
      <c r="A3" s="2" t="s">
        <v>2</v>
      </c>
      <c r="C3" t="str">
        <f>LEFT(A3,5)&amp;"/"&amp;MID(A3,14,3)</f>
        <v>WE005/584</v>
      </c>
      <c r="D3" t="str">
        <f>MID(A3,7,4)&amp;"/"&amp;RIGHT(A3,4)</f>
        <v>1520/1825</v>
      </c>
      <c r="E3" t="s">
        <v>12</v>
      </c>
    </row>
    <row r="4" spans="1:5" x14ac:dyDescent="0.25">
      <c r="A4" s="2" t="s">
        <v>3</v>
      </c>
      <c r="C4" t="str">
        <f>LEFT(A4,5)&amp;"/ -"</f>
        <v>WE585/ -</v>
      </c>
      <c r="D4" t="str">
        <f>RIGHT(A4,4)&amp;"/ -"</f>
        <v>2200/ -</v>
      </c>
      <c r="E4" t="s">
        <v>12</v>
      </c>
    </row>
    <row r="5" spans="1:5" x14ac:dyDescent="0.25">
      <c r="A5" s="2" t="s">
        <v>4</v>
      </c>
      <c r="C5" t="str">
        <f>"WE - /"&amp;MID(A5,3,3)</f>
        <v>WE - /285</v>
      </c>
      <c r="D5" t="str">
        <f>" -  /"&amp;RIGHT(A5,4)</f>
        <v xml:space="preserve"> -  /0930</v>
      </c>
      <c r="E5" t="s">
        <v>13</v>
      </c>
    </row>
    <row r="6" spans="1:5" x14ac:dyDescent="0.25">
      <c r="A6" s="2" t="s">
        <v>5</v>
      </c>
      <c r="C6" t="str">
        <f t="shared" ref="C6:C7" si="0">LEFT(A6,5)&amp;"/"&amp;MID(A6,14,3)</f>
        <v>WE286/044</v>
      </c>
      <c r="D6" t="str">
        <f t="shared" ref="D6:D7" si="1">MID(A6,7,4)&amp;"/"&amp;RIGHT(A6,4)</f>
        <v>1310/1410</v>
      </c>
      <c r="E6" t="s">
        <v>13</v>
      </c>
    </row>
    <row r="7" spans="1:5" x14ac:dyDescent="0.25">
      <c r="A7" s="2" t="s">
        <v>6</v>
      </c>
      <c r="C7" t="str">
        <f t="shared" si="0"/>
        <v>WE045/211</v>
      </c>
      <c r="D7" t="str">
        <f t="shared" si="1"/>
        <v>1640/1855</v>
      </c>
      <c r="E7" t="s">
        <v>13</v>
      </c>
    </row>
    <row r="8" spans="1:5" x14ac:dyDescent="0.25">
      <c r="A8" s="2" t="s">
        <v>7</v>
      </c>
      <c r="C8" t="str">
        <f>LEFT(A8,5)&amp;"/ -"</f>
        <v>WE212/ -</v>
      </c>
      <c r="D8" t="str">
        <f>RIGHT(A8,4)&amp;"/ -"</f>
        <v>2235/ -</v>
      </c>
      <c r="E8" t="s">
        <v>13</v>
      </c>
    </row>
    <row r="9" spans="1:5" x14ac:dyDescent="0.25">
      <c r="A9" s="2" t="s">
        <v>8</v>
      </c>
      <c r="C9" t="str">
        <f>"WE - /"&amp;MID(A9,3,3)</f>
        <v>WE - /560</v>
      </c>
      <c r="D9" t="str">
        <f>" -  /"&amp;RIGHT(A9,4)</f>
        <v xml:space="preserve"> -  /0740</v>
      </c>
      <c r="E9" t="s">
        <v>14</v>
      </c>
    </row>
    <row r="10" spans="1:5" x14ac:dyDescent="0.25">
      <c r="A10" s="2" t="s">
        <v>9</v>
      </c>
      <c r="C10" t="str">
        <f t="shared" ref="C10:C11" si="2">LEFT(A10,5)&amp;"/"&amp;MID(A10,14,3)</f>
        <v>WE561/283</v>
      </c>
      <c r="D10" t="str">
        <f t="shared" ref="D10:D11" si="3">MID(A10,7,4)&amp;"/"&amp;RIGHT(A10,4)</f>
        <v>1230/1505</v>
      </c>
      <c r="E10" t="s">
        <v>14</v>
      </c>
    </row>
    <row r="11" spans="1:5" x14ac:dyDescent="0.25">
      <c r="A11" s="2" t="s">
        <v>10</v>
      </c>
      <c r="C11" t="str">
        <f t="shared" si="2"/>
        <v>WE284/046</v>
      </c>
      <c r="D11" t="str">
        <f t="shared" si="3"/>
        <v>1845/1925</v>
      </c>
      <c r="E11" t="s">
        <v>14</v>
      </c>
    </row>
    <row r="12" spans="1:5" x14ac:dyDescent="0.25">
      <c r="A12" s="2" t="s">
        <v>11</v>
      </c>
      <c r="C12" t="str">
        <f>LEFT(A12,5)&amp;"/ -"</f>
        <v>WE047/ -</v>
      </c>
      <c r="D12" t="str">
        <f>RIGHT(A12,4)&amp;"/ -"</f>
        <v>2155/ -</v>
      </c>
      <c r="E12" t="s">
        <v>13</v>
      </c>
    </row>
    <row r="13" spans="1:5" x14ac:dyDescent="0.25">
      <c r="A13" s="1" t="s">
        <v>15</v>
      </c>
      <c r="C13" t="str">
        <f>"WE - /"&amp;MID(A13,3,3)</f>
        <v>WE - /201</v>
      </c>
      <c r="D13" t="str">
        <f>" -  /"&amp;RIGHT(A13,4)</f>
        <v xml:space="preserve"> -  /0800</v>
      </c>
      <c r="E13" t="s">
        <v>74</v>
      </c>
    </row>
    <row r="14" spans="1:5" x14ac:dyDescent="0.25">
      <c r="A14" s="1" t="s">
        <v>16</v>
      </c>
      <c r="C14" t="str">
        <f t="shared" ref="C14:C15" si="4">LEFT(A14,5)&amp;"/"&amp;MID(A14,14,3)</f>
        <v>WE202/263</v>
      </c>
      <c r="D14" t="str">
        <f t="shared" ref="D14:D15" si="5">MID(A14,7,4)&amp;"/"&amp;RIGHT(A14,4)</f>
        <v>1130/1230</v>
      </c>
      <c r="E14" t="s">
        <v>74</v>
      </c>
    </row>
    <row r="15" spans="1:5" x14ac:dyDescent="0.25">
      <c r="A15" s="1" t="s">
        <v>17</v>
      </c>
      <c r="C15" t="str">
        <f t="shared" si="4"/>
        <v>WE264/303</v>
      </c>
      <c r="D15" t="str">
        <f t="shared" si="5"/>
        <v>1615/1705</v>
      </c>
      <c r="E15" t="s">
        <v>74</v>
      </c>
    </row>
    <row r="16" spans="1:5" x14ac:dyDescent="0.25">
      <c r="A16" s="1" t="s">
        <v>18</v>
      </c>
      <c r="C16" t="str">
        <f>LEFT(A16,5)&amp;"/ -"</f>
        <v>WE304/ -</v>
      </c>
      <c r="D16" t="str">
        <f>RIGHT(A16,4)&amp;"/ -"</f>
        <v>2100/ -</v>
      </c>
      <c r="E16" t="s">
        <v>74</v>
      </c>
    </row>
    <row r="17" spans="1:5" x14ac:dyDescent="0.25">
      <c r="A17" s="1" t="s">
        <v>19</v>
      </c>
      <c r="C17" t="str">
        <f>"WE - /"&amp;MID(A17,3,3)</f>
        <v>WE - /586</v>
      </c>
      <c r="D17" t="str">
        <f>" -  /"&amp;RIGHT(A17,4)</f>
        <v xml:space="preserve"> -  /0730</v>
      </c>
      <c r="E17" t="s">
        <v>75</v>
      </c>
    </row>
    <row r="18" spans="1:5" x14ac:dyDescent="0.25">
      <c r="A18" s="1" t="s">
        <v>20</v>
      </c>
      <c r="C18" t="str">
        <f>LEFT(A18,5)&amp;"/"&amp;MID(A18,14,3)</f>
        <v>WE587/688</v>
      </c>
      <c r="D18" t="str">
        <f>MID(A18,7,4)&amp;"/"&amp;RIGHT(A18,4)</f>
        <v>1055/1155</v>
      </c>
      <c r="E18" t="s">
        <v>75</v>
      </c>
    </row>
    <row r="19" spans="1:5" x14ac:dyDescent="0.25">
      <c r="A19" s="1" t="s">
        <v>21</v>
      </c>
      <c r="C19" t="str">
        <f>LEFT(A19,5)&amp;"/ -"</f>
        <v>WE689/ -</v>
      </c>
      <c r="D19" t="str">
        <f>RIGHT(A19,4)&amp;"/ -"</f>
        <v>1945/ -</v>
      </c>
      <c r="E19" t="s">
        <v>75</v>
      </c>
    </row>
    <row r="20" spans="1:5" x14ac:dyDescent="0.25">
      <c r="A20" s="1" t="s">
        <v>22</v>
      </c>
      <c r="C20" t="str">
        <f>"WE - /"&amp;MID(A20,3,3)</f>
        <v>WE - /550</v>
      </c>
      <c r="D20" t="str">
        <f>" -  /"&amp;RIGHT(A20,4)</f>
        <v xml:space="preserve"> -  /0740</v>
      </c>
      <c r="E20" t="s">
        <v>76</v>
      </c>
    </row>
    <row r="21" spans="1:5" x14ac:dyDescent="0.25">
      <c r="A21" s="1" t="s">
        <v>23</v>
      </c>
      <c r="C21" t="str">
        <f t="shared" ref="C21:C22" si="6">LEFT(A21,5)&amp;"/"&amp;MID(A21,14,3)</f>
        <v>WE551/209</v>
      </c>
      <c r="D21" t="str">
        <f t="shared" ref="D21:D22" si="7">MID(A21,7,4)&amp;"/"&amp;RIGHT(A21,4)</f>
        <v>1150/1300</v>
      </c>
      <c r="E21" t="s">
        <v>76</v>
      </c>
    </row>
    <row r="22" spans="1:5" x14ac:dyDescent="0.25">
      <c r="A22" s="1" t="s">
        <v>24</v>
      </c>
      <c r="C22" t="str">
        <f t="shared" si="6"/>
        <v>WE210/008</v>
      </c>
      <c r="D22" t="str">
        <f t="shared" si="7"/>
        <v>1640/1755</v>
      </c>
      <c r="E22" t="s">
        <v>76</v>
      </c>
    </row>
    <row r="23" spans="1:5" x14ac:dyDescent="0.25">
      <c r="A23" s="1" t="s">
        <v>25</v>
      </c>
      <c r="C23" t="str">
        <f>LEFT(A23,5)&amp;"/ -"</f>
        <v>WE009/ -</v>
      </c>
      <c r="D23" t="str">
        <f>RIGHT(A23,4)&amp;"/ -"</f>
        <v>2050/ -</v>
      </c>
      <c r="E23" t="s">
        <v>76</v>
      </c>
    </row>
    <row r="24" spans="1:5" x14ac:dyDescent="0.25">
      <c r="A24" s="1" t="s">
        <v>26</v>
      </c>
      <c r="C24" t="str">
        <f>"WE - /"&amp;MID(A24,3,3)</f>
        <v>WE - /110</v>
      </c>
      <c r="D24" t="str">
        <f>" -  /"&amp;RIGHT(A24,4)</f>
        <v xml:space="preserve"> -  /1330</v>
      </c>
      <c r="E24" t="s">
        <v>77</v>
      </c>
    </row>
    <row r="25" spans="1:5" x14ac:dyDescent="0.25">
      <c r="A25" t="s">
        <v>27</v>
      </c>
      <c r="C25" t="str">
        <f>LEFT(A25,5)&amp;"/"&amp;MID(A25,14,3)</f>
        <v>WE111/217</v>
      </c>
      <c r="D25" t="str">
        <f>MID(A25,7,4)&amp;"/"&amp;RIGHT(A25,4)</f>
        <v>1650/1735</v>
      </c>
      <c r="E25" t="s">
        <v>77</v>
      </c>
    </row>
    <row r="26" spans="1:5" x14ac:dyDescent="0.25">
      <c r="A26" t="s">
        <v>28</v>
      </c>
      <c r="C26" t="str">
        <f>LEFT(A26,5)&amp;"/ -"</f>
        <v>WE218/ -</v>
      </c>
      <c r="D26" t="str">
        <f>RIGHT(A26,4)&amp;"/ -"</f>
        <v>2110/ -</v>
      </c>
      <c r="E26" t="s">
        <v>77</v>
      </c>
    </row>
    <row r="27" spans="1:5" x14ac:dyDescent="0.25">
      <c r="A27" t="s">
        <v>29</v>
      </c>
      <c r="C27" t="str">
        <f>"WE - /"&amp;MID(A27,3,3)</f>
        <v>WE - /002</v>
      </c>
      <c r="D27" t="str">
        <f>" -  /"&amp;RIGHT(A27,4)</f>
        <v xml:space="preserve"> -  /0650</v>
      </c>
      <c r="E27" t="s">
        <v>78</v>
      </c>
    </row>
    <row r="28" spans="1:5" x14ac:dyDescent="0.25">
      <c r="A28" t="s">
        <v>30</v>
      </c>
      <c r="C28" t="str">
        <f t="shared" ref="C28:C30" si="8">LEFT(A28,5)&amp;"/"&amp;MID(A28,14,3)</f>
        <v>WE003/104</v>
      </c>
      <c r="D28" t="str">
        <f t="shared" ref="D28:D30" si="9">MID(A28,7,4)&amp;"/"&amp;RIGHT(A28,4)</f>
        <v>0930/1010</v>
      </c>
      <c r="E28" t="s">
        <v>78</v>
      </c>
    </row>
    <row r="29" spans="1:5" x14ac:dyDescent="0.25">
      <c r="A29" t="s">
        <v>31</v>
      </c>
      <c r="C29" t="str">
        <f t="shared" si="8"/>
        <v>WE105/164</v>
      </c>
      <c r="D29" t="str">
        <f t="shared" si="9"/>
        <v>1330/1505</v>
      </c>
      <c r="E29" t="s">
        <v>78</v>
      </c>
    </row>
    <row r="30" spans="1:5" x14ac:dyDescent="0.25">
      <c r="A30" t="s">
        <v>32</v>
      </c>
      <c r="C30" t="str">
        <f t="shared" si="8"/>
        <v>WE165/120</v>
      </c>
      <c r="D30" t="str">
        <f t="shared" si="9"/>
        <v>1825/1905</v>
      </c>
      <c r="E30" t="s">
        <v>78</v>
      </c>
    </row>
    <row r="31" spans="1:5" x14ac:dyDescent="0.25">
      <c r="A31" t="s">
        <v>33</v>
      </c>
      <c r="C31" t="str">
        <f>LEFT(A31,5)&amp;"/ -"</f>
        <v>WE121/ -</v>
      </c>
      <c r="D31" t="str">
        <f>RIGHT(A31,4)&amp;"/ -"</f>
        <v>2225/ -</v>
      </c>
      <c r="E31" t="s">
        <v>78</v>
      </c>
    </row>
    <row r="32" spans="1:5" x14ac:dyDescent="0.25">
      <c r="A32" t="s">
        <v>34</v>
      </c>
      <c r="C32" t="str">
        <f>"WE - /"&amp;MID(A32,3,3)</f>
        <v>WE - /259</v>
      </c>
      <c r="D32" t="str">
        <f>" -  /"&amp;RIGHT(A32,4)</f>
        <v xml:space="preserve"> -  /0635</v>
      </c>
      <c r="E32" t="s">
        <v>79</v>
      </c>
    </row>
    <row r="33" spans="1:5" x14ac:dyDescent="0.25">
      <c r="A33" t="s">
        <v>35</v>
      </c>
      <c r="C33" t="str">
        <f t="shared" ref="C33:C34" si="10">LEFT(A33,5)&amp;"/"&amp;MID(A33,14,3)</f>
        <v>WE260/203</v>
      </c>
      <c r="D33" t="str">
        <f t="shared" ref="D33:D34" si="11">MID(A33,7,4)&amp;"/"&amp;RIGHT(A33,4)</f>
        <v>1020/1100</v>
      </c>
      <c r="E33" t="s">
        <v>79</v>
      </c>
    </row>
    <row r="34" spans="1:5" x14ac:dyDescent="0.25">
      <c r="A34" t="s">
        <v>36</v>
      </c>
      <c r="C34" t="str">
        <f t="shared" si="10"/>
        <v>WE204/556</v>
      </c>
      <c r="D34" t="str">
        <f t="shared" si="11"/>
        <v>1440/1735</v>
      </c>
      <c r="E34" t="s">
        <v>79</v>
      </c>
    </row>
    <row r="35" spans="1:5" x14ac:dyDescent="0.25">
      <c r="A35" t="s">
        <v>37</v>
      </c>
      <c r="C35" t="str">
        <f>LEFT(A35,5)&amp;"/ -"</f>
        <v>WE557/ -</v>
      </c>
      <c r="D35" t="str">
        <f>RIGHT(A35,4)&amp;"/ -"</f>
        <v>2145/ -</v>
      </c>
      <c r="E35" t="s">
        <v>79</v>
      </c>
    </row>
    <row r="36" spans="1:5" x14ac:dyDescent="0.25">
      <c r="A36" t="s">
        <v>38</v>
      </c>
      <c r="C36" t="str">
        <f>"WE - /"&amp;MID(A36,3,3)</f>
        <v>WE - /576</v>
      </c>
      <c r="D36" t="str">
        <f>" -  /"&amp;RIGHT(A36,4)</f>
        <v xml:space="preserve"> -  /0845</v>
      </c>
      <c r="E36" t="s">
        <v>80</v>
      </c>
    </row>
    <row r="37" spans="1:5" x14ac:dyDescent="0.25">
      <c r="A37" t="s">
        <v>39</v>
      </c>
      <c r="C37" t="str">
        <f t="shared" ref="C37:C38" si="12">LEFT(A37,5)&amp;"/"&amp;MID(A37,14,3)</f>
        <v>WE577/112</v>
      </c>
      <c r="D37" t="str">
        <f t="shared" ref="D37:D38" si="13">MID(A37,7,4)&amp;"/"&amp;RIGHT(A37,4)</f>
        <v>1255/1405</v>
      </c>
      <c r="E37" t="s">
        <v>80</v>
      </c>
    </row>
    <row r="38" spans="1:5" x14ac:dyDescent="0.25">
      <c r="A38" t="s">
        <v>40</v>
      </c>
      <c r="C38" t="str">
        <f t="shared" si="12"/>
        <v>WE113/249</v>
      </c>
      <c r="D38" t="str">
        <f t="shared" si="13"/>
        <v>1730/1825</v>
      </c>
      <c r="E38" t="s">
        <v>80</v>
      </c>
    </row>
    <row r="39" spans="1:5" x14ac:dyDescent="0.25">
      <c r="A39" t="s">
        <v>41</v>
      </c>
      <c r="C39" t="str">
        <f>LEFT(A39,5)&amp;"/ -"</f>
        <v>WE250/ -</v>
      </c>
      <c r="D39" t="str">
        <f>RIGHT(A39,4)&amp;"/ -"</f>
        <v>2145/ -</v>
      </c>
      <c r="E39" t="s">
        <v>80</v>
      </c>
    </row>
    <row r="40" spans="1:5" x14ac:dyDescent="0.25">
      <c r="A40" t="s">
        <v>42</v>
      </c>
      <c r="C40" t="str">
        <f t="shared" ref="C40:C42" si="14">LEFT(A40,5)&amp;"/"&amp;MID(A40,14,3)</f>
        <v>WE344/251</v>
      </c>
      <c r="D40" t="str">
        <f t="shared" ref="D40:D42" si="15">MID(A40,7,4)&amp;"/"&amp;RIGHT(A40,4)</f>
        <v>0815/0905</v>
      </c>
      <c r="E40" t="s">
        <v>81</v>
      </c>
    </row>
    <row r="41" spans="1:5" x14ac:dyDescent="0.25">
      <c r="A41" t="s">
        <v>43</v>
      </c>
      <c r="C41" t="str">
        <f t="shared" si="14"/>
        <v>WE252/291</v>
      </c>
      <c r="D41" t="str">
        <f t="shared" si="15"/>
        <v>1210/1250</v>
      </c>
      <c r="E41" t="s">
        <v>81</v>
      </c>
    </row>
    <row r="42" spans="1:5" x14ac:dyDescent="0.25">
      <c r="A42" t="s">
        <v>44</v>
      </c>
      <c r="C42" t="str">
        <f t="shared" si="14"/>
        <v>WE292/028</v>
      </c>
      <c r="D42" t="str">
        <f t="shared" si="15"/>
        <v>1635/1800</v>
      </c>
      <c r="E42" t="s">
        <v>81</v>
      </c>
    </row>
    <row r="43" spans="1:5" x14ac:dyDescent="0.25">
      <c r="A43" t="s">
        <v>45</v>
      </c>
      <c r="C43" t="str">
        <f>LEFT(A43,5)&amp;"/ -"</f>
        <v>WE029/ -</v>
      </c>
      <c r="D43" t="str">
        <f>RIGHT(A43,4)&amp;"/ -"</f>
        <v>2045/ -</v>
      </c>
      <c r="E43" t="s">
        <v>81</v>
      </c>
    </row>
    <row r="44" spans="1:5" x14ac:dyDescent="0.25">
      <c r="A44" t="s">
        <v>46</v>
      </c>
      <c r="C44" t="str">
        <f>"WE - /"&amp;MID(A44,3,3)</f>
        <v>WE - /241</v>
      </c>
      <c r="D44" t="str">
        <f>" -  /"&amp;RIGHT(A44,4)</f>
        <v xml:space="preserve"> -  /0735</v>
      </c>
      <c r="E44" t="s">
        <v>82</v>
      </c>
    </row>
    <row r="45" spans="1:5" x14ac:dyDescent="0.25">
      <c r="A45" t="s">
        <v>47</v>
      </c>
      <c r="C45" t="str">
        <f>LEFT(A45,5)&amp;"/"&amp;MID(A45,14,3)</f>
        <v>WE242/136</v>
      </c>
      <c r="D45" t="str">
        <f>MID(A45,7,4)&amp;"/"&amp;RIGHT(A45,4)</f>
        <v>1050/1850</v>
      </c>
      <c r="E45" t="s">
        <v>82</v>
      </c>
    </row>
    <row r="46" spans="1:5" x14ac:dyDescent="0.25">
      <c r="A46" t="s">
        <v>48</v>
      </c>
      <c r="C46" t="str">
        <f>LEFT(A46,5)&amp;"/ -"</f>
        <v>WE137/ -</v>
      </c>
      <c r="D46" t="str">
        <f>RIGHT(A46,4)&amp;"/ -"</f>
        <v>2215/ -</v>
      </c>
      <c r="E46" t="s">
        <v>82</v>
      </c>
    </row>
    <row r="47" spans="1:5" x14ac:dyDescent="0.25">
      <c r="A47" t="s">
        <v>49</v>
      </c>
      <c r="C47" t="str">
        <f>"WE - /"&amp;MID(A47,3,3)</f>
        <v>WE - /020</v>
      </c>
      <c r="D47" t="str">
        <f>" -  /"&amp;RIGHT(A47,4)</f>
        <v xml:space="preserve"> -  /0700</v>
      </c>
      <c r="E47" t="s">
        <v>83</v>
      </c>
    </row>
    <row r="48" spans="1:5" x14ac:dyDescent="0.25">
      <c r="A48" t="s">
        <v>50</v>
      </c>
      <c r="C48" t="str">
        <f t="shared" ref="C48:C50" si="16">LEFT(A48,5)&amp;"/"&amp;MID(A48,14,3)</f>
        <v>WE021/042</v>
      </c>
      <c r="D48" t="str">
        <f t="shared" ref="D48:D50" si="17">MID(A48,7,4)&amp;"/"&amp;RIGHT(A48,4)</f>
        <v>0945/1025</v>
      </c>
      <c r="E48" t="s">
        <v>83</v>
      </c>
    </row>
    <row r="49" spans="1:5" x14ac:dyDescent="0.25">
      <c r="A49" t="s">
        <v>51</v>
      </c>
      <c r="C49" t="str">
        <f t="shared" si="16"/>
        <v>WE043/215</v>
      </c>
      <c r="D49" t="str">
        <f t="shared" si="17"/>
        <v>1255/1355</v>
      </c>
      <c r="E49" t="s">
        <v>83</v>
      </c>
    </row>
    <row r="50" spans="1:5" x14ac:dyDescent="0.25">
      <c r="A50" t="s">
        <v>52</v>
      </c>
      <c r="C50" t="str">
        <f t="shared" si="16"/>
        <v>WE216/221</v>
      </c>
      <c r="D50" t="str">
        <f t="shared" si="17"/>
        <v>1735/1815</v>
      </c>
      <c r="E50" t="s">
        <v>83</v>
      </c>
    </row>
    <row r="51" spans="1:5" x14ac:dyDescent="0.25">
      <c r="A51" t="s">
        <v>53</v>
      </c>
      <c r="C51" t="str">
        <f>LEFT(A51,5)&amp;"/ -"</f>
        <v>WE222/ -</v>
      </c>
      <c r="D51" t="str">
        <f>RIGHT(A51,4)&amp;"/ -"</f>
        <v>2155/ -</v>
      </c>
      <c r="E51" t="s">
        <v>83</v>
      </c>
    </row>
    <row r="52" spans="1:5" x14ac:dyDescent="0.25">
      <c r="A52" t="s">
        <v>54</v>
      </c>
      <c r="C52" t="str">
        <f>"WE - /"&amp;MID(A52,3,3)</f>
        <v>WE - /100</v>
      </c>
      <c r="D52" t="str">
        <f>" -  /"&amp;RIGHT(A52,4)</f>
        <v xml:space="preserve"> -  /0630</v>
      </c>
      <c r="E52" t="s">
        <v>84</v>
      </c>
    </row>
    <row r="53" spans="1:5" x14ac:dyDescent="0.25">
      <c r="A53" t="s">
        <v>55</v>
      </c>
      <c r="C53" t="str">
        <f t="shared" ref="C53:C54" si="18">LEFT(A53,5)&amp;"/"&amp;MID(A53,14,3)</f>
        <v>WE101/570</v>
      </c>
      <c r="D53" t="str">
        <f t="shared" ref="D53:D54" si="19">MID(A53,7,4)&amp;"/"&amp;RIGHT(A53,4)</f>
        <v>0950/1125</v>
      </c>
      <c r="E53" t="s">
        <v>84</v>
      </c>
    </row>
    <row r="54" spans="1:5" x14ac:dyDescent="0.25">
      <c r="A54" t="s">
        <v>56</v>
      </c>
      <c r="C54" t="str">
        <f t="shared" si="18"/>
        <v>WE571/564</v>
      </c>
      <c r="D54" t="str">
        <f t="shared" si="19"/>
        <v>1435/1725</v>
      </c>
      <c r="E54" t="s">
        <v>84</v>
      </c>
    </row>
    <row r="55" spans="1:5" x14ac:dyDescent="0.25">
      <c r="A55" t="s">
        <v>57</v>
      </c>
      <c r="C55" t="str">
        <f>LEFT(A55,5)&amp;"/ -"</f>
        <v>WE565/ -</v>
      </c>
      <c r="D55" t="str">
        <f>RIGHT(A55,4)&amp;"/ -"</f>
        <v>2220/ -</v>
      </c>
      <c r="E55" t="s">
        <v>84</v>
      </c>
    </row>
    <row r="56" spans="1:5" x14ac:dyDescent="0.25">
      <c r="A56" t="s">
        <v>58</v>
      </c>
      <c r="C56" t="str">
        <f>"WE - /"&amp;MID(A56,3,3)</f>
        <v>WE - /289</v>
      </c>
      <c r="D56" t="str">
        <f>" -  /"&amp;RIGHT(A56,4)</f>
        <v xml:space="preserve"> -  /0740</v>
      </c>
      <c r="E56" t="s">
        <v>85</v>
      </c>
    </row>
    <row r="57" spans="1:5" x14ac:dyDescent="0.25">
      <c r="A57" t="s">
        <v>59</v>
      </c>
      <c r="C57" t="str">
        <f t="shared" ref="C57:C58" si="20">LEFT(A57,5)&amp;"/"&amp;MID(A57,14,3)</f>
        <v>WE290/132</v>
      </c>
      <c r="D57" t="str">
        <f t="shared" ref="D57:D58" si="21">MID(A57,7,4)&amp;"/"&amp;RIGHT(A57,4)</f>
        <v>1120/1225</v>
      </c>
      <c r="E57" t="s">
        <v>85</v>
      </c>
    </row>
    <row r="58" spans="1:5" x14ac:dyDescent="0.25">
      <c r="A58" t="s">
        <v>60</v>
      </c>
      <c r="C58" t="str">
        <f t="shared" si="20"/>
        <v>WE133/574</v>
      </c>
      <c r="D58" t="str">
        <f t="shared" si="21"/>
        <v>1555/1830</v>
      </c>
      <c r="E58" t="s">
        <v>85</v>
      </c>
    </row>
    <row r="59" spans="1:5" x14ac:dyDescent="0.25">
      <c r="A59" t="s">
        <v>61</v>
      </c>
      <c r="C59" t="str">
        <f>LEFT(A59,5)&amp;"/ -"</f>
        <v>WE575/ -</v>
      </c>
      <c r="D59" t="str">
        <f>RIGHT(A59,4)&amp;"/ -"</f>
        <v>2140/ -</v>
      </c>
      <c r="E59" t="s">
        <v>85</v>
      </c>
    </row>
    <row r="60" spans="1:5" x14ac:dyDescent="0.25">
      <c r="A60" t="s">
        <v>62</v>
      </c>
      <c r="C60" t="str">
        <f t="shared" ref="C60:C64" si="22">LEFT(A60,5)&amp;"/"&amp;MID(A60,14,3)</f>
        <v>WE342/588</v>
      </c>
      <c r="D60" t="str">
        <f t="shared" ref="D60:D64" si="23">MID(A60,7,4)&amp;"/"&amp;RIGHT(A60,4)</f>
        <v>0700/0745</v>
      </c>
      <c r="E60" t="s">
        <v>86</v>
      </c>
    </row>
    <row r="61" spans="1:5" x14ac:dyDescent="0.25">
      <c r="A61" t="s">
        <v>63</v>
      </c>
      <c r="C61" t="str">
        <f t="shared" si="22"/>
        <v>WE589/327</v>
      </c>
      <c r="D61" t="str">
        <f t="shared" si="23"/>
        <v>1055/1220</v>
      </c>
      <c r="E61" t="s">
        <v>86</v>
      </c>
    </row>
    <row r="62" spans="1:5" x14ac:dyDescent="0.25">
      <c r="A62" t="s">
        <v>64</v>
      </c>
      <c r="C62" t="str">
        <f t="shared" si="22"/>
        <v>WE328/343</v>
      </c>
      <c r="D62" t="str">
        <f t="shared" si="23"/>
        <v>1935/2205</v>
      </c>
      <c r="E62" t="s">
        <v>86</v>
      </c>
    </row>
    <row r="63" spans="1:5" x14ac:dyDescent="0.25">
      <c r="A63" t="s">
        <v>65</v>
      </c>
      <c r="C63" t="str">
        <f t="shared" si="22"/>
        <v>WE426/301</v>
      </c>
      <c r="D63" t="str">
        <f t="shared" si="23"/>
        <v>0850/0940</v>
      </c>
      <c r="E63" t="s">
        <v>87</v>
      </c>
    </row>
    <row r="64" spans="1:5" x14ac:dyDescent="0.25">
      <c r="A64" t="s">
        <v>66</v>
      </c>
      <c r="C64" t="str">
        <f t="shared" si="22"/>
        <v>WE302/267</v>
      </c>
      <c r="D64" t="str">
        <f t="shared" si="23"/>
        <v>1325/1835</v>
      </c>
      <c r="E64" t="s">
        <v>87</v>
      </c>
    </row>
    <row r="65" spans="1:5" x14ac:dyDescent="0.25">
      <c r="A65" t="s">
        <v>67</v>
      </c>
      <c r="C65" t="str">
        <f>LEFT(A65,5)&amp;"/ -"</f>
        <v>WE268/ -</v>
      </c>
      <c r="D65" t="str">
        <f>RIGHT(A65,4)&amp;"/ -"</f>
        <v>2220/ -</v>
      </c>
      <c r="E65" t="s">
        <v>87</v>
      </c>
    </row>
    <row r="66" spans="1:5" x14ac:dyDescent="0.25">
      <c r="A66" t="s">
        <v>68</v>
      </c>
      <c r="C66" t="str">
        <f>"WE - /"&amp;MID(A66,3,3)</f>
        <v>WE - /040</v>
      </c>
      <c r="D66" t="str">
        <f>" -  /"&amp;RIGHT(A66,4)</f>
        <v xml:space="preserve"> -  /0700</v>
      </c>
      <c r="E66" t="s">
        <v>88</v>
      </c>
    </row>
    <row r="67" spans="1:5" x14ac:dyDescent="0.25">
      <c r="A67" t="s">
        <v>69</v>
      </c>
      <c r="C67" t="str">
        <f t="shared" ref="C67:C68" si="24">LEFT(A67,5)&amp;"/"&amp;MID(A67,14,3)</f>
        <v>WE041/319</v>
      </c>
      <c r="D67" t="str">
        <f t="shared" ref="D67:D68" si="25">MID(A67,7,4)&amp;"/"&amp;RIGHT(A67,4)</f>
        <v>0930/1015</v>
      </c>
      <c r="E67" t="s">
        <v>88</v>
      </c>
    </row>
    <row r="68" spans="1:5" x14ac:dyDescent="0.25">
      <c r="A68" t="s">
        <v>70</v>
      </c>
      <c r="C68" t="str">
        <f t="shared" si="24"/>
        <v>WE320/341</v>
      </c>
      <c r="D68" t="str">
        <f t="shared" si="25"/>
        <v>1815/2030</v>
      </c>
      <c r="E68" t="s">
        <v>88</v>
      </c>
    </row>
    <row r="69" spans="1:5" x14ac:dyDescent="0.25">
      <c r="A69" t="s">
        <v>71</v>
      </c>
      <c r="C69" t="str">
        <f>"WE - /"&amp;MID(A69,3,3)</f>
        <v>WE - /102</v>
      </c>
      <c r="D69" t="str">
        <f>" -  /"&amp;RIGHT(A69,4)</f>
        <v xml:space="preserve"> -  /0725</v>
      </c>
      <c r="E69" t="s">
        <v>89</v>
      </c>
    </row>
    <row r="70" spans="1:5" x14ac:dyDescent="0.25">
      <c r="A70" t="s">
        <v>72</v>
      </c>
      <c r="C70" t="str">
        <f t="shared" ref="C70:C71" si="26">LEFT(A70,5)&amp;"/"&amp;MID(A70,14,3)</f>
        <v>WE103/207</v>
      </c>
      <c r="D70" t="str">
        <f t="shared" ref="D70:D71" si="27">MID(A70,7,4)&amp;"/"&amp;RIGHT(A70,4)</f>
        <v>1050/1130</v>
      </c>
      <c r="E70" t="s">
        <v>89</v>
      </c>
    </row>
    <row r="71" spans="1:5" x14ac:dyDescent="0.25">
      <c r="A71" t="s">
        <v>73</v>
      </c>
      <c r="C71" t="str">
        <f t="shared" si="26"/>
        <v>WE208/425</v>
      </c>
      <c r="D71" t="str">
        <f t="shared" si="27"/>
        <v>1510/1920</v>
      </c>
      <c r="E71" t="s">
        <v>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workbookViewId="0">
      <selection activeCell="B39" sqref="B39"/>
    </sheetView>
  </sheetViews>
  <sheetFormatPr defaultRowHeight="15" x14ac:dyDescent="0.25"/>
  <cols>
    <col min="1" max="1" width="22.42578125" bestFit="1" customWidth="1"/>
    <col min="3" max="3" width="19" customWidth="1"/>
    <col min="4" max="4" width="15.28515625" customWidth="1"/>
    <col min="6" max="6" width="18.5703125" customWidth="1"/>
  </cols>
  <sheetData>
    <row r="1" spans="1:6" x14ac:dyDescent="0.25">
      <c r="A1" s="2" t="s">
        <v>0</v>
      </c>
      <c r="C1" s="8" t="str">
        <f>"WE - /"&amp;MID(A1,3,3)</f>
        <v>WE - /130</v>
      </c>
      <c r="D1" s="8" t="str">
        <f>" -  /"&amp;RIGHT(A1,4)</f>
        <v xml:space="preserve"> -  /0810</v>
      </c>
      <c r="E1" t="s">
        <v>12</v>
      </c>
      <c r="F1" s="5" t="s">
        <v>92</v>
      </c>
    </row>
    <row r="2" spans="1:6" x14ac:dyDescent="0.25">
      <c r="A2" s="2" t="s">
        <v>1</v>
      </c>
      <c r="C2" s="8" t="str">
        <f>LEFT(A2,5)&amp;"/"&amp;MID(A2,14,3)</f>
        <v>WE131/004</v>
      </c>
      <c r="D2" s="8" t="str">
        <f>MID(A2,7,4)&amp;"/"&amp;RIGHT(A2,4)</f>
        <v>1150/1230</v>
      </c>
      <c r="E2" t="s">
        <v>12</v>
      </c>
      <c r="F2" s="7" t="s">
        <v>90</v>
      </c>
    </row>
    <row r="3" spans="1:6" x14ac:dyDescent="0.25">
      <c r="A3" s="2" t="s">
        <v>2</v>
      </c>
      <c r="C3" s="8" t="str">
        <f>LEFT(A3,5)&amp;"/"&amp;MID(A3,14,3)</f>
        <v>WE005/584</v>
      </c>
      <c r="D3" s="8" t="str">
        <f>MID(A3,7,4)&amp;"/"&amp;RIGHT(A3,4)</f>
        <v>1520/1825</v>
      </c>
      <c r="E3" t="s">
        <v>12</v>
      </c>
      <c r="F3" s="7" t="s">
        <v>90</v>
      </c>
    </row>
    <row r="4" spans="1:6" x14ac:dyDescent="0.25">
      <c r="A4" s="2" t="s">
        <v>3</v>
      </c>
      <c r="C4" s="8" t="str">
        <f>LEFT(A4,5)&amp;"/ -"</f>
        <v>WE585/ -</v>
      </c>
      <c r="D4" s="8" t="str">
        <f>RIGHT(A4,4)&amp;"/ -"</f>
        <v>2200/ -</v>
      </c>
      <c r="E4" t="s">
        <v>12</v>
      </c>
      <c r="F4" s="6" t="s">
        <v>91</v>
      </c>
    </row>
    <row r="5" spans="1:6" x14ac:dyDescent="0.25">
      <c r="A5" s="3" t="s">
        <v>93</v>
      </c>
      <c r="B5" s="4"/>
      <c r="C5" s="4"/>
      <c r="D5" s="4"/>
      <c r="E5" s="4"/>
      <c r="F5" s="4"/>
    </row>
    <row r="6" spans="1:6" x14ac:dyDescent="0.25">
      <c r="A6" s="9"/>
      <c r="B6" s="8"/>
      <c r="C6" s="8"/>
      <c r="D6" s="8"/>
      <c r="E6" s="8"/>
      <c r="F6" s="8"/>
    </row>
    <row r="7" spans="1:6" x14ac:dyDescent="0.25">
      <c r="A7" s="9"/>
      <c r="B7" s="8"/>
      <c r="C7" s="8"/>
      <c r="D7" s="8"/>
      <c r="E7" s="8"/>
      <c r="F7" s="8"/>
    </row>
    <row r="8" spans="1:6" x14ac:dyDescent="0.25">
      <c r="A8" s="9"/>
      <c r="B8" s="8"/>
      <c r="C8" s="8"/>
      <c r="D8" s="8"/>
      <c r="E8" s="8"/>
      <c r="F8" s="8"/>
    </row>
    <row r="9" spans="1:6" x14ac:dyDescent="0.25">
      <c r="A9" s="9"/>
      <c r="B9" s="8"/>
      <c r="C9" s="8"/>
      <c r="D9" s="8"/>
      <c r="E9" s="8"/>
      <c r="F9" s="8"/>
    </row>
    <row r="10" spans="1:6" x14ac:dyDescent="0.25">
      <c r="A10" s="9"/>
      <c r="B10" s="8"/>
      <c r="C10" s="8"/>
      <c r="D10" s="8"/>
      <c r="E10" s="8"/>
      <c r="F10" s="8"/>
    </row>
    <row r="11" spans="1:6" x14ac:dyDescent="0.25">
      <c r="A11" s="9"/>
      <c r="B11" s="8"/>
      <c r="C11" s="8"/>
      <c r="D11" s="8"/>
      <c r="E11" s="8"/>
      <c r="F11" s="8"/>
    </row>
    <row r="12" spans="1:6" x14ac:dyDescent="0.25">
      <c r="A12" s="9"/>
      <c r="B12" s="8"/>
      <c r="C12" s="8"/>
      <c r="D12" s="8"/>
      <c r="E12" s="8"/>
      <c r="F12" s="8"/>
    </row>
    <row r="13" spans="1:6" x14ac:dyDescent="0.25">
      <c r="A13" s="10"/>
      <c r="B13" s="8"/>
      <c r="C13" s="8"/>
      <c r="D13" s="8"/>
      <c r="E13" s="8"/>
      <c r="F13" s="8"/>
    </row>
    <row r="14" spans="1:6" x14ac:dyDescent="0.25">
      <c r="A14" s="10"/>
      <c r="B14" s="8"/>
      <c r="C14" s="8"/>
      <c r="D14" s="8"/>
      <c r="E14" s="8"/>
      <c r="F14" s="8"/>
    </row>
    <row r="15" spans="1:6" x14ac:dyDescent="0.25">
      <c r="A15" s="10"/>
      <c r="B15" s="8"/>
      <c r="C15" s="8"/>
      <c r="D15" s="8"/>
      <c r="E15" s="8"/>
      <c r="F15" s="8"/>
    </row>
    <row r="16" spans="1:6" x14ac:dyDescent="0.25">
      <c r="A16" s="10"/>
      <c r="B16" s="8"/>
      <c r="C16" s="8"/>
      <c r="D16" s="8"/>
      <c r="E16" s="8"/>
      <c r="F16" s="8"/>
    </row>
    <row r="17" spans="1:6" x14ac:dyDescent="0.25">
      <c r="A17" s="10"/>
      <c r="B17" s="8"/>
      <c r="C17" s="8"/>
      <c r="D17" s="8"/>
      <c r="E17" s="8"/>
      <c r="F17" s="8"/>
    </row>
    <row r="18" spans="1:6" x14ac:dyDescent="0.25">
      <c r="A18" s="10"/>
      <c r="B18" s="8"/>
      <c r="C18" s="8"/>
      <c r="D18" s="8"/>
      <c r="E18" s="8"/>
      <c r="F18" s="8"/>
    </row>
    <row r="19" spans="1:6" x14ac:dyDescent="0.25">
      <c r="A19" s="10"/>
      <c r="B19" s="8"/>
      <c r="C19" s="8"/>
      <c r="D19" s="8"/>
      <c r="E19" s="8"/>
      <c r="F19" s="8"/>
    </row>
    <row r="20" spans="1:6" x14ac:dyDescent="0.25">
      <c r="A20" s="10"/>
      <c r="B20" s="8"/>
      <c r="C20" s="8"/>
      <c r="D20" s="8"/>
      <c r="E20" s="8"/>
      <c r="F20" s="8"/>
    </row>
    <row r="21" spans="1:6" x14ac:dyDescent="0.25">
      <c r="A21" s="10"/>
      <c r="B21" s="8"/>
      <c r="C21" s="8"/>
      <c r="D21" s="8"/>
      <c r="E21" s="8"/>
      <c r="F21" s="8"/>
    </row>
    <row r="22" spans="1:6" x14ac:dyDescent="0.25">
      <c r="A22" s="10"/>
      <c r="B22" s="8"/>
      <c r="C22" s="8"/>
      <c r="D22" s="8"/>
      <c r="E22" s="8"/>
      <c r="F22" s="8"/>
    </row>
    <row r="23" spans="1:6" x14ac:dyDescent="0.25">
      <c r="A23" s="10"/>
      <c r="B23" s="8"/>
      <c r="C23" s="8"/>
      <c r="D23" s="8"/>
      <c r="E23" s="8"/>
      <c r="F23" s="8"/>
    </row>
    <row r="24" spans="1:6" x14ac:dyDescent="0.25">
      <c r="A24" s="10"/>
      <c r="B24" s="8"/>
      <c r="C24" s="8"/>
      <c r="D24" s="8"/>
      <c r="E24" s="8"/>
      <c r="F24" s="8"/>
    </row>
    <row r="25" spans="1:6" x14ac:dyDescent="0.25">
      <c r="A25" s="8"/>
      <c r="B25" s="8"/>
      <c r="C25" s="8"/>
      <c r="D25" s="8"/>
      <c r="E25" s="8"/>
      <c r="F25" s="8"/>
    </row>
    <row r="26" spans="1:6" x14ac:dyDescent="0.25">
      <c r="A26" s="8"/>
      <c r="B26" s="8"/>
      <c r="C26" s="8"/>
      <c r="D26" s="8"/>
      <c r="E26" s="8"/>
      <c r="F26" s="8"/>
    </row>
    <row r="27" spans="1:6" x14ac:dyDescent="0.25">
      <c r="A27" s="8"/>
      <c r="B27" s="8"/>
      <c r="C27" s="8"/>
      <c r="D27" s="8"/>
      <c r="E27" s="8"/>
      <c r="F27" s="8"/>
    </row>
    <row r="28" spans="1:6" x14ac:dyDescent="0.25">
      <c r="A28" s="8"/>
      <c r="B28" s="8"/>
      <c r="C28" s="8"/>
      <c r="D28" s="8"/>
      <c r="E28" s="8"/>
      <c r="F28" s="8"/>
    </row>
    <row r="29" spans="1:6" x14ac:dyDescent="0.25">
      <c r="A29" s="8"/>
      <c r="B29" s="8"/>
      <c r="C29" s="8"/>
      <c r="D29" s="8"/>
      <c r="E29" s="8"/>
      <c r="F29" s="8"/>
    </row>
    <row r="30" spans="1:6" x14ac:dyDescent="0.25">
      <c r="A30" s="8"/>
      <c r="B30" s="8"/>
      <c r="C30" s="8"/>
      <c r="D30" s="8"/>
      <c r="E30" s="8"/>
      <c r="F30" s="8"/>
    </row>
    <row r="31" spans="1:6" x14ac:dyDescent="0.25">
      <c r="A31" s="8"/>
      <c r="B31" s="8"/>
      <c r="C31" s="8"/>
      <c r="D31" s="8"/>
      <c r="E31" s="8"/>
      <c r="F31" s="8"/>
    </row>
    <row r="32" spans="1:6" x14ac:dyDescent="0.25">
      <c r="A32" s="8"/>
      <c r="B32" s="8"/>
      <c r="C32" s="8"/>
      <c r="D32" s="8"/>
      <c r="E32" s="8"/>
      <c r="F32" s="8"/>
    </row>
    <row r="33" spans="1:6" x14ac:dyDescent="0.25">
      <c r="A33" s="8"/>
      <c r="B33" s="8"/>
      <c r="C33" s="8"/>
      <c r="D33" s="8"/>
      <c r="E33" s="8"/>
      <c r="F33" s="8"/>
    </row>
    <row r="34" spans="1:6" x14ac:dyDescent="0.25">
      <c r="A34" s="8"/>
      <c r="B34" s="8"/>
      <c r="C34" s="8"/>
      <c r="D34" s="8"/>
      <c r="E34" s="8"/>
      <c r="F34" s="8"/>
    </row>
    <row r="35" spans="1:6" x14ac:dyDescent="0.25">
      <c r="A35" s="8"/>
      <c r="B35" s="8"/>
      <c r="C35" s="8"/>
      <c r="D35" s="8"/>
      <c r="E35" s="8"/>
      <c r="F35" s="8"/>
    </row>
    <row r="36" spans="1:6" x14ac:dyDescent="0.25">
      <c r="A36" s="8"/>
      <c r="B36" s="8"/>
      <c r="C36" s="8"/>
      <c r="D36" s="8"/>
      <c r="E36" s="8"/>
      <c r="F36" s="8"/>
    </row>
    <row r="37" spans="1:6" x14ac:dyDescent="0.25">
      <c r="A37" s="8"/>
      <c r="B37" s="8"/>
      <c r="C37" s="8"/>
      <c r="D37" s="8"/>
      <c r="E37" s="8"/>
      <c r="F37" s="8"/>
    </row>
    <row r="38" spans="1:6" x14ac:dyDescent="0.25">
      <c r="A38" s="8"/>
      <c r="B38" s="8"/>
      <c r="C38" s="8"/>
      <c r="D38" s="8"/>
      <c r="E38" s="8"/>
      <c r="F38" s="8"/>
    </row>
    <row r="39" spans="1:6" x14ac:dyDescent="0.25">
      <c r="A39" s="8"/>
      <c r="B39" s="8"/>
      <c r="C39" s="8"/>
      <c r="D39" s="8"/>
      <c r="E39" s="8"/>
      <c r="F39" s="8"/>
    </row>
    <row r="40" spans="1:6" x14ac:dyDescent="0.25">
      <c r="A40" s="8"/>
      <c r="B40" s="8"/>
      <c r="C40" s="8"/>
      <c r="D40" s="8"/>
      <c r="E40" s="8"/>
      <c r="F40" s="8"/>
    </row>
    <row r="41" spans="1:6" x14ac:dyDescent="0.25">
      <c r="A41" s="8"/>
      <c r="B41" s="8"/>
      <c r="C41" s="8"/>
      <c r="D41" s="8"/>
      <c r="E41" s="8"/>
      <c r="F41" s="8"/>
    </row>
    <row r="42" spans="1:6" x14ac:dyDescent="0.25">
      <c r="A42" s="8"/>
      <c r="B42" s="8"/>
      <c r="C42" s="8"/>
      <c r="D42" s="8"/>
      <c r="E42" s="8"/>
      <c r="F42" s="8"/>
    </row>
    <row r="43" spans="1:6" x14ac:dyDescent="0.25">
      <c r="A43" s="8"/>
      <c r="B43" s="8"/>
      <c r="C43" s="8"/>
      <c r="D43" s="8"/>
      <c r="E43" s="8"/>
      <c r="F43" s="8"/>
    </row>
    <row r="44" spans="1:6" x14ac:dyDescent="0.25">
      <c r="A44" s="8"/>
      <c r="B44" s="8"/>
      <c r="C44" s="8"/>
      <c r="D44" s="8"/>
      <c r="E44" s="8"/>
      <c r="F44" s="8"/>
    </row>
    <row r="45" spans="1:6" x14ac:dyDescent="0.25">
      <c r="A45" s="8"/>
      <c r="B45" s="8"/>
      <c r="C45" s="8"/>
      <c r="D45" s="8"/>
      <c r="E45" s="8"/>
      <c r="F45" s="8"/>
    </row>
    <row r="46" spans="1:6" x14ac:dyDescent="0.25">
      <c r="A46" s="8"/>
      <c r="B46" s="8"/>
      <c r="C46" s="8"/>
      <c r="D46" s="8"/>
      <c r="E46" s="8"/>
      <c r="F46" s="8"/>
    </row>
    <row r="47" spans="1:6" x14ac:dyDescent="0.25">
      <c r="A47" s="8"/>
      <c r="B47" s="8"/>
      <c r="C47" s="8"/>
      <c r="D47" s="8"/>
      <c r="E47" s="8"/>
      <c r="F47" s="8"/>
    </row>
    <row r="48" spans="1:6" x14ac:dyDescent="0.25">
      <c r="A48" s="8"/>
      <c r="B48" s="8"/>
      <c r="C48" s="8"/>
      <c r="D48" s="8"/>
      <c r="E48" s="8"/>
      <c r="F48" s="8"/>
    </row>
    <row r="49" spans="1:6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  <row r="51" spans="1:6" x14ac:dyDescent="0.25">
      <c r="A51" s="8"/>
      <c r="B51" s="8"/>
      <c r="C51" s="8"/>
      <c r="D51" s="8"/>
      <c r="E51" s="8"/>
      <c r="F51" s="8"/>
    </row>
    <row r="52" spans="1:6" x14ac:dyDescent="0.25">
      <c r="A52" s="8"/>
      <c r="B52" s="8"/>
      <c r="C52" s="8"/>
      <c r="D52" s="8"/>
      <c r="E52" s="8"/>
      <c r="F52" s="8"/>
    </row>
    <row r="53" spans="1:6" x14ac:dyDescent="0.25">
      <c r="A53" s="8"/>
      <c r="B53" s="8"/>
      <c r="C53" s="8"/>
      <c r="D53" s="8"/>
      <c r="E53" s="8"/>
      <c r="F53" s="8"/>
    </row>
    <row r="54" spans="1:6" x14ac:dyDescent="0.25">
      <c r="A54" s="8"/>
      <c r="B54" s="8"/>
      <c r="C54" s="8"/>
      <c r="D54" s="8"/>
      <c r="E54" s="8"/>
      <c r="F54" s="8"/>
    </row>
    <row r="55" spans="1:6" x14ac:dyDescent="0.25">
      <c r="A55" s="8"/>
      <c r="B55" s="8"/>
      <c r="C55" s="8"/>
      <c r="D55" s="8"/>
      <c r="E55" s="8"/>
      <c r="F55" s="8"/>
    </row>
    <row r="56" spans="1:6" x14ac:dyDescent="0.25">
      <c r="A56" s="8"/>
      <c r="B56" s="8"/>
      <c r="C56" s="8"/>
      <c r="D56" s="8"/>
      <c r="E56" s="8"/>
      <c r="F56" s="8"/>
    </row>
    <row r="57" spans="1:6" x14ac:dyDescent="0.25">
      <c r="A57" s="8"/>
      <c r="B57" s="8"/>
      <c r="C57" s="8"/>
      <c r="D57" s="8"/>
      <c r="E57" s="8"/>
      <c r="F57" s="8"/>
    </row>
    <row r="58" spans="1:6" x14ac:dyDescent="0.25">
      <c r="A58" s="8"/>
      <c r="B58" s="8"/>
      <c r="C58" s="8"/>
      <c r="D58" s="8"/>
      <c r="E58" s="8"/>
      <c r="F58" s="8"/>
    </row>
    <row r="59" spans="1:6" x14ac:dyDescent="0.25">
      <c r="A59" s="8"/>
      <c r="B59" s="8"/>
      <c r="C59" s="8"/>
      <c r="D59" s="8"/>
      <c r="E59" s="8"/>
      <c r="F59" s="8"/>
    </row>
    <row r="60" spans="1:6" x14ac:dyDescent="0.25">
      <c r="A60" s="8"/>
      <c r="B60" s="8"/>
      <c r="C60" s="8"/>
      <c r="D60" s="8"/>
      <c r="E60" s="8"/>
      <c r="F60" s="8"/>
    </row>
    <row r="61" spans="1:6" x14ac:dyDescent="0.25">
      <c r="A61" s="8"/>
      <c r="B61" s="8"/>
      <c r="C61" s="8"/>
      <c r="D61" s="8"/>
      <c r="E61" s="8"/>
      <c r="F61" s="8"/>
    </row>
    <row r="62" spans="1:6" x14ac:dyDescent="0.25">
      <c r="A62" s="8"/>
      <c r="B62" s="8"/>
      <c r="C62" s="8"/>
      <c r="D62" s="8"/>
      <c r="E62" s="8"/>
      <c r="F62" s="8"/>
    </row>
    <row r="63" spans="1:6" x14ac:dyDescent="0.25">
      <c r="A63" s="8"/>
      <c r="B63" s="8"/>
      <c r="C63" s="8"/>
      <c r="D63" s="8"/>
      <c r="E63" s="8"/>
      <c r="F63" s="8"/>
    </row>
    <row r="64" spans="1:6" x14ac:dyDescent="0.25">
      <c r="A64" s="8"/>
      <c r="B64" s="8"/>
      <c r="C64" s="8"/>
      <c r="D64" s="8"/>
      <c r="E64" s="8"/>
      <c r="F64" s="8"/>
    </row>
    <row r="65" spans="1:6" x14ac:dyDescent="0.25">
      <c r="A65" s="8"/>
      <c r="B65" s="8"/>
      <c r="C65" s="8"/>
      <c r="D65" s="8"/>
      <c r="E65" s="8"/>
      <c r="F65" s="8"/>
    </row>
    <row r="66" spans="1:6" x14ac:dyDescent="0.25">
      <c r="A66" s="8"/>
      <c r="B66" s="8"/>
      <c r="C66" s="8"/>
      <c r="D66" s="8"/>
      <c r="E66" s="8"/>
      <c r="F66" s="8"/>
    </row>
    <row r="67" spans="1:6" x14ac:dyDescent="0.25">
      <c r="A67" s="8"/>
      <c r="B67" s="8"/>
      <c r="C67" s="8"/>
      <c r="D67" s="8"/>
      <c r="E67" s="8"/>
      <c r="F67" s="8"/>
    </row>
    <row r="68" spans="1:6" x14ac:dyDescent="0.25">
      <c r="A68" s="8"/>
      <c r="B68" s="8"/>
      <c r="C68" s="8"/>
      <c r="D68" s="8"/>
      <c r="E68" s="8"/>
      <c r="F68" s="8"/>
    </row>
    <row r="69" spans="1:6" x14ac:dyDescent="0.25">
      <c r="A69" s="8"/>
      <c r="B69" s="8"/>
      <c r="C69" s="8"/>
      <c r="D69" s="8"/>
      <c r="E69" s="8"/>
      <c r="F69" s="8"/>
    </row>
    <row r="70" spans="1:6" x14ac:dyDescent="0.25">
      <c r="A70" s="8"/>
      <c r="B70" s="8"/>
      <c r="C70" s="8"/>
      <c r="D70" s="8"/>
      <c r="E70" s="8"/>
      <c r="F70" s="8"/>
    </row>
    <row r="71" spans="1:6" x14ac:dyDescent="0.25">
      <c r="A71" s="8"/>
      <c r="B71" s="8"/>
      <c r="C71" s="8"/>
      <c r="D71" s="8"/>
      <c r="E71" s="8"/>
      <c r="F71" s="8"/>
    </row>
    <row r="72" spans="1:6" x14ac:dyDescent="0.25">
      <c r="A72" s="8"/>
      <c r="B72" s="8"/>
      <c r="C72" s="8"/>
      <c r="D72" s="8"/>
      <c r="E72" s="8"/>
      <c r="F72" s="8"/>
    </row>
    <row r="73" spans="1:6" x14ac:dyDescent="0.25">
      <c r="A73" s="8"/>
      <c r="B73" s="8"/>
      <c r="C73" s="8"/>
      <c r="D73" s="8"/>
      <c r="E73" s="8"/>
      <c r="F73" s="8"/>
    </row>
    <row r="74" spans="1:6" x14ac:dyDescent="0.25">
      <c r="A74" s="8"/>
      <c r="B74" s="8"/>
      <c r="C74" s="8"/>
      <c r="D74" s="8"/>
      <c r="E74" s="8"/>
      <c r="F74" s="8"/>
    </row>
    <row r="75" spans="1:6" x14ac:dyDescent="0.25">
      <c r="A75" s="8"/>
      <c r="B75" s="8"/>
      <c r="C75" s="8"/>
      <c r="D75" s="8"/>
      <c r="E75" s="8"/>
      <c r="F75" s="8"/>
    </row>
    <row r="76" spans="1:6" x14ac:dyDescent="0.25">
      <c r="A76" s="8"/>
      <c r="B76" s="8"/>
      <c r="C76" s="8"/>
      <c r="D76" s="8"/>
      <c r="E76" s="8"/>
      <c r="F76" s="8"/>
    </row>
    <row r="77" spans="1:6" x14ac:dyDescent="0.25">
      <c r="A77" s="8"/>
      <c r="B77" s="8"/>
      <c r="C77" s="8"/>
      <c r="D77" s="8"/>
      <c r="E77" s="8"/>
      <c r="F77" s="8"/>
    </row>
    <row r="78" spans="1:6" x14ac:dyDescent="0.25">
      <c r="A78" s="8"/>
      <c r="B78" s="8"/>
      <c r="C78" s="8"/>
      <c r="D78" s="8"/>
      <c r="E78" s="8"/>
      <c r="F78" s="8"/>
    </row>
    <row r="79" spans="1:6" x14ac:dyDescent="0.25">
      <c r="A79" s="8"/>
      <c r="B79" s="8"/>
      <c r="C79" s="8"/>
      <c r="D79" s="8"/>
      <c r="E79" s="8"/>
      <c r="F79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69"/>
  <sheetViews>
    <sheetView topLeftCell="A3" zoomScale="85" zoomScaleNormal="85" workbookViewId="0">
      <selection activeCell="R7" sqref="R7:U30"/>
    </sheetView>
  </sheetViews>
  <sheetFormatPr defaultRowHeight="21.75" x14ac:dyDescent="0.45"/>
  <cols>
    <col min="1" max="3" width="12.7109375" style="14" customWidth="1"/>
    <col min="4" max="4" width="6.28515625" style="14" customWidth="1"/>
    <col min="5" max="8" width="12.7109375" style="14" customWidth="1"/>
    <col min="9" max="10" width="2.7109375" style="18" customWidth="1"/>
    <col min="11" max="13" width="10.7109375" style="14" customWidth="1"/>
    <col min="14" max="14" width="10.7109375" style="24" customWidth="1"/>
    <col min="15" max="16" width="10.7109375" style="14" customWidth="1"/>
    <col min="17" max="17" width="5.7109375" style="14" customWidth="1"/>
    <col min="18" max="21" width="10.7109375" style="19" customWidth="1"/>
    <col min="22" max="22" width="12" style="14" bestFit="1" customWidth="1"/>
    <col min="23" max="23" width="2.7109375" style="18" customWidth="1"/>
    <col min="24" max="16384" width="9.140625" style="14"/>
  </cols>
  <sheetData>
    <row r="1" spans="1:22" ht="45.75" customHeight="1" x14ac:dyDescent="0.45">
      <c r="A1" s="35" t="s">
        <v>113</v>
      </c>
      <c r="B1" s="35"/>
      <c r="C1" s="35"/>
      <c r="D1" s="35"/>
      <c r="E1" s="35"/>
      <c r="F1" s="35"/>
      <c r="G1" s="35"/>
      <c r="H1" s="35"/>
      <c r="K1" s="36" t="s">
        <v>112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x14ac:dyDescent="0.45">
      <c r="A2" s="14" t="s">
        <v>94</v>
      </c>
      <c r="B2" s="14" t="s">
        <v>95</v>
      </c>
      <c r="C2" s="14" t="s">
        <v>96</v>
      </c>
      <c r="D2" s="25"/>
      <c r="E2" s="14" t="str">
        <f>LEFT(A2,6)&amp;" -"</f>
        <v>TG318/ -</v>
      </c>
      <c r="F2" s="14" t="str">
        <f>LEFT(B2,5)&amp;" -"</f>
        <v>0505/ -</v>
      </c>
      <c r="G2" s="14" t="str">
        <f>C2</f>
        <v xml:space="preserve">TJV    </v>
      </c>
      <c r="H2" s="15" t="s">
        <v>91</v>
      </c>
      <c r="K2" s="19">
        <v>323</v>
      </c>
      <c r="L2" s="20">
        <v>44971</v>
      </c>
      <c r="M2" s="19"/>
      <c r="N2" s="29" t="s">
        <v>107</v>
      </c>
      <c r="O2" s="19" t="s">
        <v>108</v>
      </c>
      <c r="P2" s="19">
        <v>700</v>
      </c>
      <c r="Q2" s="30"/>
      <c r="R2" s="19" t="str">
        <f>"TG - /"&amp;K2</f>
        <v>TG - /323</v>
      </c>
      <c r="S2" s="19" t="str">
        <f>" -  /0"&amp;P2</f>
        <v xml:space="preserve"> -  /0700</v>
      </c>
      <c r="T2" s="19" t="str">
        <f>IF(LEFT(N2,1)="7","B"&amp;N2,"A"&amp;N2)</f>
        <v>B77E</v>
      </c>
      <c r="U2" s="32" t="str">
        <f>UPPER(TEXT(L2,("DDMMMYY")))</f>
        <v>14FEB23</v>
      </c>
      <c r="V2" s="23" t="s">
        <v>111</v>
      </c>
    </row>
    <row r="3" spans="1:22" x14ac:dyDescent="0.45">
      <c r="A3" s="11" t="s">
        <v>97</v>
      </c>
      <c r="B3" s="12" t="s">
        <v>98</v>
      </c>
      <c r="C3" s="13" t="s">
        <v>99</v>
      </c>
      <c r="D3" s="25"/>
      <c r="E3" s="14" t="str">
        <f t="shared" ref="E3:E5" si="0">LEFT(A3,6)&amp;" -"</f>
        <v>TG661/ -</v>
      </c>
      <c r="F3" s="14" t="str">
        <f t="shared" ref="F3:F5" si="1">LEFT(B3,5)&amp;" -"</f>
        <v>0525/ -</v>
      </c>
      <c r="G3" s="14" t="str">
        <f t="shared" ref="G3:G5" si="2">C3</f>
        <v xml:space="preserve">TEO    </v>
      </c>
      <c r="H3" s="32" t="str">
        <f>UPPER(TEXT(L3,("DDMMMYY")))</f>
        <v>14FEB23</v>
      </c>
      <c r="K3" s="19">
        <v>403</v>
      </c>
      <c r="L3" s="20">
        <v>44971</v>
      </c>
      <c r="M3" s="19"/>
      <c r="N3" s="29" t="s">
        <v>109</v>
      </c>
      <c r="O3" s="19" t="s">
        <v>108</v>
      </c>
      <c r="P3" s="19">
        <v>800</v>
      </c>
      <c r="Q3" s="30"/>
      <c r="R3" s="19" t="str">
        <f>"TG - /"&amp;K3</f>
        <v>TG - /403</v>
      </c>
      <c r="S3" s="19" t="str">
        <f>" -  /0"&amp;P3</f>
        <v xml:space="preserve"> -  /0800</v>
      </c>
      <c r="T3" s="19" t="str">
        <f>IF(LEFT(N3,1)="7","B"&amp;N3,"A"&amp;N3)</f>
        <v>A35A</v>
      </c>
      <c r="U3" s="32" t="str">
        <f>UPPER(TEXT(L3,("DDMMMYY")))</f>
        <v>14FEB23</v>
      </c>
      <c r="V3" s="28"/>
    </row>
    <row r="4" spans="1:22" x14ac:dyDescent="0.45">
      <c r="A4" s="11" t="s">
        <v>100</v>
      </c>
      <c r="B4" s="12" t="s">
        <v>101</v>
      </c>
      <c r="C4" s="13" t="s">
        <v>102</v>
      </c>
      <c r="D4" s="25"/>
      <c r="E4" s="14" t="str">
        <f t="shared" si="0"/>
        <v>TG462/ -</v>
      </c>
      <c r="F4" s="14" t="str">
        <f t="shared" si="1"/>
        <v>0540/ -</v>
      </c>
      <c r="G4" s="14" t="str">
        <f t="shared" si="2"/>
        <v xml:space="preserve">THE    </v>
      </c>
      <c r="H4" s="32" t="str">
        <f t="shared" ref="H4:H5" si="3">UPPER(TEXT(L4,("DDMMMYY")))</f>
        <v>14FEB23</v>
      </c>
      <c r="K4" s="19">
        <v>600</v>
      </c>
      <c r="L4" s="20">
        <v>44971</v>
      </c>
      <c r="M4" s="19"/>
      <c r="N4" s="29" t="s">
        <v>110</v>
      </c>
      <c r="O4" s="19" t="s">
        <v>108</v>
      </c>
      <c r="P4" s="19">
        <v>800</v>
      </c>
      <c r="Q4" s="30"/>
      <c r="V4" s="28"/>
    </row>
    <row r="5" spans="1:22" x14ac:dyDescent="0.45">
      <c r="A5" s="11" t="s">
        <v>103</v>
      </c>
      <c r="B5" s="12" t="s">
        <v>104</v>
      </c>
      <c r="C5" s="13" t="s">
        <v>105</v>
      </c>
      <c r="D5" s="25"/>
      <c r="E5" s="14" t="str">
        <f t="shared" si="0"/>
        <v>TG961/ -</v>
      </c>
      <c r="F5" s="14" t="str">
        <f t="shared" si="1"/>
        <v>0545/ -</v>
      </c>
      <c r="G5" s="14" t="str">
        <f t="shared" si="2"/>
        <v xml:space="preserve">THN    </v>
      </c>
      <c r="H5" s="32" t="str">
        <f t="shared" si="3"/>
        <v>14FEB23</v>
      </c>
      <c r="K5" s="19">
        <v>652</v>
      </c>
      <c r="L5" s="20">
        <v>44971</v>
      </c>
      <c r="M5" s="19"/>
      <c r="N5" s="29">
        <v>789</v>
      </c>
      <c r="O5" s="19" t="s">
        <v>108</v>
      </c>
      <c r="P5" s="19">
        <v>800</v>
      </c>
      <c r="Q5" s="30"/>
      <c r="V5" s="28"/>
    </row>
    <row r="6" spans="1:22" x14ac:dyDescent="0.45">
      <c r="A6" s="16" t="s">
        <v>106</v>
      </c>
      <c r="B6" s="17"/>
      <c r="C6" s="17"/>
      <c r="D6" s="17"/>
      <c r="E6" s="16" t="s">
        <v>106</v>
      </c>
      <c r="F6" s="17"/>
      <c r="G6" s="17"/>
      <c r="H6" s="17"/>
      <c r="K6" s="17"/>
      <c r="L6" s="17"/>
      <c r="M6" s="17"/>
      <c r="N6" s="31"/>
      <c r="O6" s="22"/>
      <c r="P6" s="22"/>
      <c r="Q6" s="22"/>
      <c r="R6" s="21" t="s">
        <v>106</v>
      </c>
      <c r="S6" s="22"/>
      <c r="T6" s="22"/>
      <c r="U6" s="22"/>
      <c r="V6" s="16"/>
    </row>
    <row r="7" spans="1:22" x14ac:dyDescent="0.45">
      <c r="A7" s="11"/>
      <c r="B7" s="12"/>
      <c r="C7" s="13"/>
      <c r="E7" s="14" t="str">
        <f>LEFT(A7,6)&amp;" -"</f>
        <v xml:space="preserve"> -</v>
      </c>
      <c r="F7" s="14" t="str">
        <f t="shared" ref="F7:F11" si="4">LEFT(B7,5)&amp;" -"</f>
        <v xml:space="preserve"> -</v>
      </c>
      <c r="G7" s="14">
        <f t="shared" ref="G7:G11" si="5">C7</f>
        <v>0</v>
      </c>
      <c r="H7" s="32" t="str">
        <f t="shared" ref="H7:H11" si="6">UPPER(TEXT(L7,("DDMMMYY")))</f>
        <v>20APR26</v>
      </c>
      <c r="K7">
        <v>2</v>
      </c>
      <c r="L7" s="33">
        <v>46132</v>
      </c>
      <c r="M7" s="33" t="s">
        <v>115</v>
      </c>
      <c r="N7" t="s">
        <v>114</v>
      </c>
      <c r="O7" t="s">
        <v>108</v>
      </c>
      <c r="P7">
        <v>700</v>
      </c>
      <c r="Q7" s="19"/>
      <c r="R7" s="19" t="str">
        <f t="shared" ref="R7:R11" si="7">"TG - /"&amp;K7</f>
        <v>TG - /2</v>
      </c>
      <c r="S7" s="19" t="str">
        <f t="shared" ref="S7:S11" si="8">" -  /0"&amp;P7</f>
        <v xml:space="preserve"> -  /0700</v>
      </c>
      <c r="T7" s="19" t="str">
        <f>IF(LEFT(N7,1)="7","B"&amp;N7,"A"&amp;N7)</f>
        <v>A32X</v>
      </c>
      <c r="U7" s="32" t="str">
        <f t="shared" ref="U7:U11" si="9">UPPER(TEXT(L7,("DDMMMYY")))</f>
        <v>20APR26</v>
      </c>
      <c r="V7" s="28"/>
    </row>
    <row r="8" spans="1:22" x14ac:dyDescent="0.45">
      <c r="A8" s="11"/>
      <c r="B8" s="12"/>
      <c r="C8" s="13"/>
      <c r="E8" s="14" t="str">
        <f t="shared" ref="E8:E11" si="10">LEFT(A8,6)&amp;" -"</f>
        <v xml:space="preserve"> -</v>
      </c>
      <c r="F8" s="14" t="str">
        <f t="shared" si="4"/>
        <v xml:space="preserve"> -</v>
      </c>
      <c r="G8" s="14">
        <f t="shared" si="5"/>
        <v>0</v>
      </c>
      <c r="H8" s="32" t="str">
        <f t="shared" si="6"/>
        <v>20APR26</v>
      </c>
      <c r="K8">
        <v>40</v>
      </c>
      <c r="L8" s="33">
        <v>46132</v>
      </c>
      <c r="M8" s="33" t="s">
        <v>115</v>
      </c>
      <c r="N8" t="s">
        <v>114</v>
      </c>
      <c r="O8" t="s">
        <v>108</v>
      </c>
      <c r="P8">
        <v>700</v>
      </c>
      <c r="Q8" s="19"/>
      <c r="R8" s="19" t="str">
        <f>"TG - /"&amp;K8</f>
        <v>TG - /40</v>
      </c>
      <c r="S8" s="19" t="str">
        <f t="shared" si="8"/>
        <v xml:space="preserve"> -  /0700</v>
      </c>
      <c r="T8" s="19" t="str">
        <f t="shared" ref="T8:T11" si="11">IF(LEFT(N8,1)="7","B"&amp;N8,"A"&amp;N8)</f>
        <v>A32X</v>
      </c>
      <c r="U8" s="32" t="str">
        <f t="shared" si="9"/>
        <v>20APR26</v>
      </c>
      <c r="V8" s="28"/>
    </row>
    <row r="9" spans="1:22" x14ac:dyDescent="0.45">
      <c r="A9" s="11"/>
      <c r="B9" s="12"/>
      <c r="C9" s="13"/>
      <c r="E9" s="14" t="str">
        <f t="shared" si="10"/>
        <v xml:space="preserve"> -</v>
      </c>
      <c r="F9" s="14" t="str">
        <f t="shared" si="4"/>
        <v xml:space="preserve"> -</v>
      </c>
      <c r="G9" s="14">
        <f t="shared" si="5"/>
        <v>0</v>
      </c>
      <c r="H9" s="32" t="str">
        <f t="shared" si="6"/>
        <v>20APR26</v>
      </c>
      <c r="K9">
        <v>259</v>
      </c>
      <c r="L9" s="33">
        <v>46132</v>
      </c>
      <c r="M9" s="33" t="s">
        <v>115</v>
      </c>
      <c r="N9" t="s">
        <v>114</v>
      </c>
      <c r="O9" t="s">
        <v>108</v>
      </c>
      <c r="P9">
        <v>700</v>
      </c>
      <c r="Q9" s="19"/>
      <c r="R9" s="19" t="str">
        <f t="shared" si="7"/>
        <v>TG - /259</v>
      </c>
      <c r="S9" s="19" t="str">
        <f t="shared" si="8"/>
        <v xml:space="preserve"> -  /0700</v>
      </c>
      <c r="T9" s="19" t="str">
        <f t="shared" si="11"/>
        <v>A32X</v>
      </c>
      <c r="U9" s="32" t="str">
        <f t="shared" si="9"/>
        <v>20APR26</v>
      </c>
      <c r="V9" s="28"/>
    </row>
    <row r="10" spans="1:22" x14ac:dyDescent="0.45">
      <c r="A10" s="11"/>
      <c r="B10" s="12"/>
      <c r="C10" s="13"/>
      <c r="E10" s="14" t="str">
        <f t="shared" si="10"/>
        <v xml:space="preserve"> -</v>
      </c>
      <c r="F10" s="14" t="str">
        <f t="shared" si="4"/>
        <v xml:space="preserve"> -</v>
      </c>
      <c r="G10" s="14">
        <f t="shared" si="5"/>
        <v>0</v>
      </c>
      <c r="H10" s="32" t="str">
        <f t="shared" si="6"/>
        <v>20APR26</v>
      </c>
      <c r="K10">
        <v>20</v>
      </c>
      <c r="L10" s="33">
        <v>46132</v>
      </c>
      <c r="M10" s="33" t="s">
        <v>115</v>
      </c>
      <c r="N10" t="s">
        <v>114</v>
      </c>
      <c r="O10" t="s">
        <v>108</v>
      </c>
      <c r="P10">
        <v>705</v>
      </c>
      <c r="Q10" s="19"/>
      <c r="R10" s="19" t="str">
        <f t="shared" si="7"/>
        <v>TG - /20</v>
      </c>
      <c r="S10" s="19" t="str">
        <f t="shared" si="8"/>
        <v xml:space="preserve"> -  /0705</v>
      </c>
      <c r="T10" s="19" t="str">
        <f t="shared" si="11"/>
        <v>A32X</v>
      </c>
      <c r="U10" s="32" t="str">
        <f t="shared" si="9"/>
        <v>20APR26</v>
      </c>
      <c r="V10" s="28"/>
    </row>
    <row r="11" spans="1:22" x14ac:dyDescent="0.45">
      <c r="A11" s="11"/>
      <c r="B11" s="12"/>
      <c r="C11" s="13"/>
      <c r="E11" s="14" t="str">
        <f t="shared" si="10"/>
        <v xml:space="preserve"> -</v>
      </c>
      <c r="F11" s="14" t="str">
        <f t="shared" si="4"/>
        <v xml:space="preserve"> -</v>
      </c>
      <c r="G11" s="14">
        <f t="shared" si="5"/>
        <v>0</v>
      </c>
      <c r="H11" s="32" t="str">
        <f t="shared" si="6"/>
        <v>20APR26</v>
      </c>
      <c r="K11">
        <v>102</v>
      </c>
      <c r="L11" s="33">
        <v>46132</v>
      </c>
      <c r="M11" s="33" t="s">
        <v>115</v>
      </c>
      <c r="N11" t="s">
        <v>114</v>
      </c>
      <c r="O11" t="s">
        <v>108</v>
      </c>
      <c r="P11">
        <v>725</v>
      </c>
      <c r="Q11" s="19"/>
      <c r="R11" s="19" t="str">
        <f t="shared" si="7"/>
        <v>TG - /102</v>
      </c>
      <c r="S11" s="19" t="str">
        <f t="shared" si="8"/>
        <v xml:space="preserve"> -  /0725</v>
      </c>
      <c r="T11" s="19" t="str">
        <f t="shared" si="11"/>
        <v>A32X</v>
      </c>
      <c r="U11" s="32" t="str">
        <f t="shared" si="9"/>
        <v>20APR26</v>
      </c>
      <c r="V11" s="28"/>
    </row>
    <row r="12" spans="1:22" x14ac:dyDescent="0.45">
      <c r="A12" s="11"/>
      <c r="B12" s="12"/>
      <c r="C12" s="13"/>
      <c r="E12" s="14" t="str">
        <f t="shared" ref="E12:E27" si="12">LEFT(A12,6)&amp;" -"</f>
        <v xml:space="preserve"> -</v>
      </c>
      <c r="F12" s="14" t="str">
        <f t="shared" ref="F12:F27" si="13">LEFT(B12,5)&amp;" -"</f>
        <v xml:space="preserve"> -</v>
      </c>
      <c r="G12" s="14">
        <f t="shared" ref="G12:G27" si="14">C12</f>
        <v>0</v>
      </c>
      <c r="H12" s="32" t="str">
        <f t="shared" ref="H12:H27" si="15">UPPER(TEXT(L12,("DDMMMYY")))</f>
        <v>20APR26</v>
      </c>
      <c r="K12">
        <v>620</v>
      </c>
      <c r="L12" s="33">
        <v>46132</v>
      </c>
      <c r="M12" s="33" t="s">
        <v>115</v>
      </c>
      <c r="N12" t="s">
        <v>114</v>
      </c>
      <c r="O12" t="s">
        <v>108</v>
      </c>
      <c r="P12">
        <v>725</v>
      </c>
      <c r="Q12" s="19"/>
      <c r="R12" s="19" t="str">
        <f t="shared" ref="R12:R32" si="16">"TG - /"&amp;K12</f>
        <v>TG - /620</v>
      </c>
      <c r="S12" s="19" t="str">
        <f t="shared" ref="S12:S32" si="17">" -  /0"&amp;P12</f>
        <v xml:space="preserve"> -  /0725</v>
      </c>
      <c r="T12" s="19" t="str">
        <f t="shared" ref="T12:T32" si="18">IF(LEFT(N12,1)="7","B"&amp;N12,"A"&amp;N12)</f>
        <v>A32X</v>
      </c>
      <c r="U12" s="32" t="str">
        <f t="shared" ref="U12:U32" si="19">UPPER(TEXT(L12,("DDMMMYY")))</f>
        <v>20APR26</v>
      </c>
      <c r="V12" s="28"/>
    </row>
    <row r="13" spans="1:22" x14ac:dyDescent="0.45">
      <c r="A13" s="11"/>
      <c r="B13" s="12"/>
      <c r="C13" s="13"/>
      <c r="E13" s="14" t="str">
        <f t="shared" si="12"/>
        <v xml:space="preserve"> -</v>
      </c>
      <c r="F13" s="14" t="str">
        <f t="shared" si="13"/>
        <v xml:space="preserve"> -</v>
      </c>
      <c r="G13" s="14">
        <f t="shared" si="14"/>
        <v>0</v>
      </c>
      <c r="H13" s="32" t="str">
        <f t="shared" si="15"/>
        <v>20APR26</v>
      </c>
      <c r="K13">
        <v>201</v>
      </c>
      <c r="L13" s="33">
        <v>46132</v>
      </c>
      <c r="M13" s="33" t="s">
        <v>115</v>
      </c>
      <c r="N13" t="s">
        <v>114</v>
      </c>
      <c r="O13" t="s">
        <v>108</v>
      </c>
      <c r="P13">
        <v>730</v>
      </c>
      <c r="Q13" s="19"/>
      <c r="R13" s="19" t="str">
        <f t="shared" si="16"/>
        <v>TG - /201</v>
      </c>
      <c r="S13" s="19" t="str">
        <f t="shared" si="17"/>
        <v xml:space="preserve"> -  /0730</v>
      </c>
      <c r="T13" s="19" t="str">
        <f t="shared" si="18"/>
        <v>A32X</v>
      </c>
      <c r="U13" s="32" t="str">
        <f t="shared" si="19"/>
        <v>20APR26</v>
      </c>
      <c r="V13" s="28"/>
    </row>
    <row r="14" spans="1:22" x14ac:dyDescent="0.45">
      <c r="C14" s="13"/>
      <c r="E14" s="14" t="str">
        <f t="shared" si="12"/>
        <v xml:space="preserve"> -</v>
      </c>
      <c r="F14" s="14" t="str">
        <f t="shared" si="13"/>
        <v xml:space="preserve"> -</v>
      </c>
      <c r="G14" s="14">
        <f t="shared" si="14"/>
        <v>0</v>
      </c>
      <c r="H14" s="32" t="str">
        <f t="shared" si="15"/>
        <v>20APR26</v>
      </c>
      <c r="K14">
        <v>481</v>
      </c>
      <c r="L14" s="33">
        <v>46132</v>
      </c>
      <c r="M14" s="33" t="s">
        <v>115</v>
      </c>
      <c r="N14">
        <v>789</v>
      </c>
      <c r="O14" t="s">
        <v>108</v>
      </c>
      <c r="P14">
        <v>730</v>
      </c>
      <c r="Q14" s="19"/>
      <c r="R14" s="19" t="str">
        <f t="shared" si="16"/>
        <v>TG - /481</v>
      </c>
      <c r="S14" s="19" t="str">
        <f t="shared" si="17"/>
        <v xml:space="preserve"> -  /0730</v>
      </c>
      <c r="T14" s="19" t="str">
        <f t="shared" si="18"/>
        <v>B789</v>
      </c>
      <c r="U14" s="32" t="str">
        <f t="shared" si="19"/>
        <v>20APR26</v>
      </c>
      <c r="V14" s="28"/>
    </row>
    <row r="15" spans="1:22" x14ac:dyDescent="0.45">
      <c r="E15" s="14" t="str">
        <f t="shared" si="12"/>
        <v xml:space="preserve"> -</v>
      </c>
      <c r="F15" s="14" t="str">
        <f t="shared" si="13"/>
        <v xml:space="preserve"> -</v>
      </c>
      <c r="G15" s="14">
        <f t="shared" si="14"/>
        <v>0</v>
      </c>
      <c r="H15" s="32" t="str">
        <f t="shared" si="15"/>
        <v>20APR26</v>
      </c>
      <c r="K15">
        <v>586</v>
      </c>
      <c r="L15" s="33">
        <v>46132</v>
      </c>
      <c r="M15" s="33" t="s">
        <v>115</v>
      </c>
      <c r="N15" t="s">
        <v>114</v>
      </c>
      <c r="O15" t="s">
        <v>108</v>
      </c>
      <c r="P15">
        <v>730</v>
      </c>
      <c r="Q15" s="19"/>
      <c r="R15" s="19" t="str">
        <f t="shared" si="16"/>
        <v>TG - /586</v>
      </c>
      <c r="S15" s="19" t="str">
        <f t="shared" si="17"/>
        <v xml:space="preserve"> -  /0730</v>
      </c>
      <c r="T15" s="19" t="str">
        <f t="shared" si="18"/>
        <v>A32X</v>
      </c>
      <c r="U15" s="32" t="str">
        <f t="shared" si="19"/>
        <v>20APR26</v>
      </c>
      <c r="V15" s="28"/>
    </row>
    <row r="16" spans="1:22" x14ac:dyDescent="0.45">
      <c r="E16" s="14" t="str">
        <f t="shared" si="12"/>
        <v xml:space="preserve"> -</v>
      </c>
      <c r="F16" s="14" t="str">
        <f t="shared" si="13"/>
        <v xml:space="preserve"> -</v>
      </c>
      <c r="G16" s="14">
        <f t="shared" si="14"/>
        <v>0</v>
      </c>
      <c r="H16" s="32" t="str">
        <f t="shared" si="15"/>
        <v>20APR26</v>
      </c>
      <c r="K16">
        <v>323</v>
      </c>
      <c r="L16" s="33">
        <v>46132</v>
      </c>
      <c r="M16" s="33" t="s">
        <v>115</v>
      </c>
      <c r="N16" t="s">
        <v>117</v>
      </c>
      <c r="O16" t="s">
        <v>108</v>
      </c>
      <c r="P16">
        <v>735</v>
      </c>
      <c r="Q16" s="19"/>
      <c r="R16" s="19" t="str">
        <f t="shared" si="16"/>
        <v>TG - /323</v>
      </c>
      <c r="S16" s="19" t="str">
        <f t="shared" si="17"/>
        <v xml:space="preserve"> -  /0735</v>
      </c>
      <c r="T16" s="19" t="str">
        <f t="shared" si="18"/>
        <v>A33C</v>
      </c>
      <c r="U16" s="32" t="str">
        <f t="shared" si="19"/>
        <v>20APR26</v>
      </c>
      <c r="V16" s="28"/>
    </row>
    <row r="17" spans="5:22" x14ac:dyDescent="0.45">
      <c r="E17" s="14" t="str">
        <f t="shared" si="12"/>
        <v xml:space="preserve"> -</v>
      </c>
      <c r="F17" s="14" t="str">
        <f t="shared" si="13"/>
        <v xml:space="preserve"> -</v>
      </c>
      <c r="G17" s="14">
        <f t="shared" si="14"/>
        <v>0</v>
      </c>
      <c r="H17" s="32" t="str">
        <f t="shared" si="15"/>
        <v>20APR26</v>
      </c>
      <c r="K17">
        <v>550</v>
      </c>
      <c r="L17" s="33">
        <v>46132</v>
      </c>
      <c r="M17" s="33" t="s">
        <v>115</v>
      </c>
      <c r="N17" t="s">
        <v>114</v>
      </c>
      <c r="O17" t="s">
        <v>108</v>
      </c>
      <c r="P17">
        <v>735</v>
      </c>
      <c r="Q17" s="19"/>
      <c r="R17" s="19" t="str">
        <f t="shared" si="16"/>
        <v>TG - /550</v>
      </c>
      <c r="S17" s="19" t="str">
        <f t="shared" si="17"/>
        <v xml:space="preserve"> -  /0735</v>
      </c>
      <c r="T17" s="19" t="str">
        <f t="shared" si="18"/>
        <v>A32X</v>
      </c>
      <c r="U17" s="32" t="str">
        <f t="shared" si="19"/>
        <v>20APR26</v>
      </c>
      <c r="V17" s="28"/>
    </row>
    <row r="18" spans="5:22" x14ac:dyDescent="0.45">
      <c r="E18" s="14" t="str">
        <f t="shared" si="12"/>
        <v xml:space="preserve"> -</v>
      </c>
      <c r="F18" s="14" t="str">
        <f t="shared" si="13"/>
        <v xml:space="preserve"> -</v>
      </c>
      <c r="G18" s="14">
        <f t="shared" si="14"/>
        <v>0</v>
      </c>
      <c r="H18" s="32" t="str">
        <f t="shared" si="15"/>
        <v>20APR26</v>
      </c>
      <c r="K18">
        <v>241</v>
      </c>
      <c r="L18" s="33">
        <v>46132</v>
      </c>
      <c r="M18" s="33" t="s">
        <v>115</v>
      </c>
      <c r="N18" t="s">
        <v>114</v>
      </c>
      <c r="O18" t="s">
        <v>108</v>
      </c>
      <c r="P18">
        <v>740</v>
      </c>
      <c r="Q18" s="19"/>
      <c r="R18" s="19" t="str">
        <f t="shared" si="16"/>
        <v>TG - /241</v>
      </c>
      <c r="S18" s="19" t="str">
        <f t="shared" si="17"/>
        <v xml:space="preserve"> -  /0740</v>
      </c>
      <c r="T18" s="19" t="str">
        <f t="shared" si="18"/>
        <v>A32X</v>
      </c>
      <c r="U18" s="32" t="str">
        <f t="shared" si="19"/>
        <v>20APR26</v>
      </c>
      <c r="V18" s="28"/>
    </row>
    <row r="19" spans="5:22" x14ac:dyDescent="0.45">
      <c r="E19" s="14" t="str">
        <f t="shared" si="12"/>
        <v xml:space="preserve"> -</v>
      </c>
      <c r="F19" s="14" t="str">
        <f t="shared" si="13"/>
        <v xml:space="preserve"> -</v>
      </c>
      <c r="G19" s="14">
        <f t="shared" si="14"/>
        <v>0</v>
      </c>
      <c r="H19" s="32" t="str">
        <f t="shared" si="15"/>
        <v>20APR26</v>
      </c>
      <c r="K19">
        <v>560</v>
      </c>
      <c r="L19" s="33">
        <v>46132</v>
      </c>
      <c r="M19" s="33" t="s">
        <v>115</v>
      </c>
      <c r="N19" t="s">
        <v>114</v>
      </c>
      <c r="O19" t="s">
        <v>108</v>
      </c>
      <c r="P19">
        <v>745</v>
      </c>
      <c r="Q19" s="19"/>
      <c r="R19" s="19" t="str">
        <f t="shared" si="16"/>
        <v>TG - /560</v>
      </c>
      <c r="S19" s="19" t="str">
        <f t="shared" si="17"/>
        <v xml:space="preserve"> -  /0745</v>
      </c>
      <c r="T19" s="19" t="str">
        <f t="shared" si="18"/>
        <v>A32X</v>
      </c>
      <c r="U19" s="32" t="str">
        <f t="shared" si="19"/>
        <v>20APR26</v>
      </c>
      <c r="V19" s="28"/>
    </row>
    <row r="20" spans="5:22" x14ac:dyDescent="0.45">
      <c r="E20" s="14" t="str">
        <f t="shared" si="12"/>
        <v xml:space="preserve"> -</v>
      </c>
      <c r="F20" s="14" t="str">
        <f t="shared" si="13"/>
        <v xml:space="preserve"> -</v>
      </c>
      <c r="G20" s="14">
        <f t="shared" si="14"/>
        <v>0</v>
      </c>
      <c r="H20" s="32" t="str">
        <f t="shared" si="15"/>
        <v>20APR26</v>
      </c>
      <c r="K20">
        <v>676</v>
      </c>
      <c r="L20" s="33">
        <v>46132</v>
      </c>
      <c r="M20" s="33" t="s">
        <v>115</v>
      </c>
      <c r="N20" t="s">
        <v>120</v>
      </c>
      <c r="O20" t="s">
        <v>108</v>
      </c>
      <c r="P20">
        <v>745</v>
      </c>
      <c r="Q20" s="19"/>
      <c r="R20" s="19" t="str">
        <f t="shared" si="16"/>
        <v>TG - /676</v>
      </c>
      <c r="S20" s="19" t="str">
        <f t="shared" si="17"/>
        <v xml:space="preserve"> -  /0745</v>
      </c>
      <c r="T20" s="19" t="str">
        <f t="shared" si="18"/>
        <v>B77Y</v>
      </c>
      <c r="U20" s="32" t="str">
        <f t="shared" si="19"/>
        <v>20APR26</v>
      </c>
      <c r="V20" s="28"/>
    </row>
    <row r="21" spans="5:22" x14ac:dyDescent="0.45">
      <c r="E21" s="14" t="str">
        <f t="shared" si="12"/>
        <v xml:space="preserve"> -</v>
      </c>
      <c r="F21" s="14" t="str">
        <f t="shared" si="13"/>
        <v xml:space="preserve"> -</v>
      </c>
      <c r="G21" s="14">
        <f t="shared" si="14"/>
        <v>0</v>
      </c>
      <c r="H21" s="32" t="str">
        <f t="shared" si="15"/>
        <v>20APR26</v>
      </c>
      <c r="K21">
        <v>403</v>
      </c>
      <c r="L21" s="33">
        <v>46132</v>
      </c>
      <c r="M21" s="33" t="s">
        <v>115</v>
      </c>
      <c r="N21" t="s">
        <v>151</v>
      </c>
      <c r="O21" t="s">
        <v>108</v>
      </c>
      <c r="P21">
        <v>800</v>
      </c>
      <c r="Q21" s="19"/>
      <c r="R21" s="19" t="str">
        <f t="shared" si="16"/>
        <v>TG - /403</v>
      </c>
      <c r="S21" s="19" t="str">
        <f t="shared" si="17"/>
        <v xml:space="preserve"> -  /0800</v>
      </c>
      <c r="T21" s="19" t="str">
        <f t="shared" si="18"/>
        <v>A35D</v>
      </c>
      <c r="U21" s="32" t="str">
        <f t="shared" si="19"/>
        <v>20APR26</v>
      </c>
      <c r="V21" s="28"/>
    </row>
    <row r="22" spans="5:22" x14ac:dyDescent="0.45">
      <c r="E22" s="14" t="str">
        <f t="shared" si="12"/>
        <v xml:space="preserve"> -</v>
      </c>
      <c r="F22" s="14" t="str">
        <f t="shared" si="13"/>
        <v xml:space="preserve"> -</v>
      </c>
      <c r="G22" s="14">
        <f t="shared" si="14"/>
        <v>0</v>
      </c>
      <c r="H22" s="32" t="str">
        <f t="shared" si="15"/>
        <v>20APR26</v>
      </c>
      <c r="K22">
        <v>433</v>
      </c>
      <c r="L22" s="33">
        <v>46132</v>
      </c>
      <c r="M22" s="33" t="s">
        <v>115</v>
      </c>
      <c r="N22" t="s">
        <v>117</v>
      </c>
      <c r="O22" t="s">
        <v>108</v>
      </c>
      <c r="P22">
        <v>800</v>
      </c>
      <c r="Q22" s="19"/>
      <c r="R22" s="19" t="str">
        <f t="shared" si="16"/>
        <v>TG - /433</v>
      </c>
      <c r="S22" s="19" t="str">
        <f t="shared" si="17"/>
        <v xml:space="preserve"> -  /0800</v>
      </c>
      <c r="T22" s="19" t="str">
        <f t="shared" si="18"/>
        <v>A33C</v>
      </c>
      <c r="U22" s="32" t="str">
        <f t="shared" si="19"/>
        <v>20APR26</v>
      </c>
      <c r="V22" s="28"/>
    </row>
    <row r="23" spans="5:22" x14ac:dyDescent="0.45">
      <c r="E23" s="14" t="str">
        <f t="shared" si="12"/>
        <v xml:space="preserve"> -</v>
      </c>
      <c r="F23" s="14" t="str">
        <f t="shared" si="13"/>
        <v xml:space="preserve"> -</v>
      </c>
      <c r="G23" s="14">
        <f t="shared" si="14"/>
        <v>0</v>
      </c>
      <c r="H23" s="32" t="str">
        <f t="shared" si="15"/>
        <v>20APR26</v>
      </c>
      <c r="K23">
        <v>600</v>
      </c>
      <c r="L23" s="33">
        <v>46132</v>
      </c>
      <c r="M23" s="33" t="s">
        <v>115</v>
      </c>
      <c r="N23" t="s">
        <v>118</v>
      </c>
      <c r="O23" t="s">
        <v>108</v>
      </c>
      <c r="P23">
        <v>800</v>
      </c>
      <c r="Q23" s="19"/>
      <c r="R23" s="19" t="str">
        <f t="shared" si="16"/>
        <v>TG - /600</v>
      </c>
      <c r="S23" s="19" t="str">
        <f t="shared" si="17"/>
        <v xml:space="preserve"> -  /0800</v>
      </c>
      <c r="T23" s="19" t="str">
        <f t="shared" si="18"/>
        <v>B77B</v>
      </c>
      <c r="U23" s="32" t="str">
        <f t="shared" si="19"/>
        <v>20APR26</v>
      </c>
      <c r="V23" s="28"/>
    </row>
    <row r="24" spans="5:22" x14ac:dyDescent="0.45">
      <c r="E24" s="14" t="str">
        <f t="shared" si="12"/>
        <v xml:space="preserve"> -</v>
      </c>
      <c r="F24" s="14" t="str">
        <f t="shared" si="13"/>
        <v xml:space="preserve"> -</v>
      </c>
      <c r="G24" s="14">
        <f t="shared" si="14"/>
        <v>0</v>
      </c>
      <c r="H24" s="32" t="str">
        <f t="shared" si="15"/>
        <v>20APR26</v>
      </c>
      <c r="K24">
        <v>652</v>
      </c>
      <c r="L24" s="33">
        <v>46132</v>
      </c>
      <c r="M24" s="33" t="s">
        <v>115</v>
      </c>
      <c r="N24">
        <v>359</v>
      </c>
      <c r="O24" t="s">
        <v>108</v>
      </c>
      <c r="P24">
        <v>800</v>
      </c>
      <c r="Q24" s="19"/>
      <c r="R24" s="19" t="str">
        <f t="shared" si="16"/>
        <v>TG - /652</v>
      </c>
      <c r="S24" s="19" t="str">
        <f t="shared" si="17"/>
        <v xml:space="preserve"> -  /0800</v>
      </c>
      <c r="T24" s="19" t="str">
        <f t="shared" si="18"/>
        <v>A359</v>
      </c>
      <c r="U24" s="32" t="str">
        <f t="shared" si="19"/>
        <v>20APR26</v>
      </c>
      <c r="V24" s="28"/>
    </row>
    <row r="25" spans="5:22" x14ac:dyDescent="0.45">
      <c r="E25" s="14" t="str">
        <f t="shared" si="12"/>
        <v xml:space="preserve"> -</v>
      </c>
      <c r="F25" s="14" t="str">
        <f t="shared" si="13"/>
        <v xml:space="preserve"> -</v>
      </c>
      <c r="G25" s="14">
        <f t="shared" si="14"/>
        <v>0</v>
      </c>
      <c r="H25" s="32" t="str">
        <f t="shared" si="15"/>
        <v>20APR26</v>
      </c>
      <c r="K25">
        <v>130</v>
      </c>
      <c r="L25" s="33">
        <v>46132</v>
      </c>
      <c r="M25" s="33" t="s">
        <v>115</v>
      </c>
      <c r="N25" t="s">
        <v>114</v>
      </c>
      <c r="O25" t="s">
        <v>108</v>
      </c>
      <c r="P25">
        <v>805</v>
      </c>
      <c r="Q25" s="19"/>
      <c r="R25" s="19" t="str">
        <f t="shared" si="16"/>
        <v>TG - /130</v>
      </c>
      <c r="S25" s="19" t="str">
        <f t="shared" si="17"/>
        <v xml:space="preserve"> -  /0805</v>
      </c>
      <c r="T25" s="19" t="str">
        <f t="shared" si="18"/>
        <v>A32X</v>
      </c>
      <c r="U25" s="32" t="str">
        <f t="shared" si="19"/>
        <v>20APR26</v>
      </c>
      <c r="V25" s="28"/>
    </row>
    <row r="26" spans="5:22" x14ac:dyDescent="0.45">
      <c r="E26" s="14" t="str">
        <f t="shared" si="12"/>
        <v xml:space="preserve"> -</v>
      </c>
      <c r="F26" s="14" t="str">
        <f t="shared" si="13"/>
        <v xml:space="preserve"> -</v>
      </c>
      <c r="G26" s="14">
        <f t="shared" si="14"/>
        <v>0</v>
      </c>
      <c r="H26" s="32" t="str">
        <f t="shared" si="15"/>
        <v>20APR26</v>
      </c>
      <c r="K26">
        <v>203</v>
      </c>
      <c r="L26" s="33">
        <v>46132</v>
      </c>
      <c r="M26" s="33" t="s">
        <v>115</v>
      </c>
      <c r="N26" t="s">
        <v>114</v>
      </c>
      <c r="O26" t="s">
        <v>108</v>
      </c>
      <c r="P26">
        <v>805</v>
      </c>
      <c r="Q26" s="19"/>
      <c r="R26" s="19" t="str">
        <f t="shared" si="16"/>
        <v>TG - /203</v>
      </c>
      <c r="S26" s="19" t="str">
        <f t="shared" si="17"/>
        <v xml:space="preserve"> -  /0805</v>
      </c>
      <c r="T26" s="19" t="str">
        <f t="shared" si="18"/>
        <v>A32X</v>
      </c>
      <c r="U26" s="32" t="str">
        <f t="shared" si="19"/>
        <v>20APR26</v>
      </c>
      <c r="V26" s="28"/>
    </row>
    <row r="27" spans="5:22" x14ac:dyDescent="0.45">
      <c r="E27" s="14" t="str">
        <f t="shared" si="12"/>
        <v xml:space="preserve"> -</v>
      </c>
      <c r="F27" s="14" t="str">
        <f t="shared" si="13"/>
        <v xml:space="preserve"> -</v>
      </c>
      <c r="G27" s="14">
        <f t="shared" si="14"/>
        <v>0</v>
      </c>
      <c r="H27" s="32" t="str">
        <f t="shared" si="15"/>
        <v>20APR26</v>
      </c>
      <c r="K27">
        <v>461</v>
      </c>
      <c r="L27" s="33">
        <v>46132</v>
      </c>
      <c r="M27" s="33" t="s">
        <v>115</v>
      </c>
      <c r="N27">
        <v>359</v>
      </c>
      <c r="O27" t="s">
        <v>108</v>
      </c>
      <c r="P27">
        <v>810</v>
      </c>
      <c r="Q27" s="19"/>
      <c r="R27" s="19" t="str">
        <f t="shared" si="16"/>
        <v>TG - /461</v>
      </c>
      <c r="S27" s="19" t="str">
        <f t="shared" si="17"/>
        <v xml:space="preserve"> -  /0810</v>
      </c>
      <c r="T27" s="19" t="str">
        <f t="shared" si="18"/>
        <v>A359</v>
      </c>
      <c r="U27" s="32" t="str">
        <f t="shared" si="19"/>
        <v>20APR26</v>
      </c>
      <c r="V27" s="28"/>
    </row>
    <row r="28" spans="5:22" x14ac:dyDescent="0.45">
      <c r="E28" s="14" t="str">
        <f t="shared" ref="E28" si="20">LEFT(A28,6)&amp;" -"</f>
        <v xml:space="preserve"> -</v>
      </c>
      <c r="F28" s="14" t="str">
        <f t="shared" ref="F28" si="21">LEFT(B28,5)&amp;" -"</f>
        <v xml:space="preserve"> -</v>
      </c>
      <c r="G28" s="14">
        <f t="shared" ref="G28" si="22">C28</f>
        <v>0</v>
      </c>
      <c r="H28" s="32" t="str">
        <f t="shared" ref="H28" si="23">UPPER(TEXT(L28,("DDMMMYY")))</f>
        <v>20APR26</v>
      </c>
      <c r="K28">
        <v>632</v>
      </c>
      <c r="L28" s="33">
        <v>46132</v>
      </c>
      <c r="M28" s="33" t="s">
        <v>115</v>
      </c>
      <c r="N28" t="s">
        <v>118</v>
      </c>
      <c r="O28" t="s">
        <v>108</v>
      </c>
      <c r="P28">
        <v>825</v>
      </c>
      <c r="Q28" s="19"/>
      <c r="R28" s="19" t="str">
        <f t="shared" si="16"/>
        <v>TG - /632</v>
      </c>
      <c r="S28" s="19" t="str">
        <f t="shared" si="17"/>
        <v xml:space="preserve"> -  /0825</v>
      </c>
      <c r="T28" s="19" t="str">
        <f t="shared" si="18"/>
        <v>B77B</v>
      </c>
      <c r="U28" s="32" t="str">
        <f t="shared" si="19"/>
        <v>20APR26</v>
      </c>
      <c r="V28" s="28"/>
    </row>
    <row r="29" spans="5:22" x14ac:dyDescent="0.45">
      <c r="E29" s="14" t="str">
        <f>LEFT(A29,6)&amp;" -"</f>
        <v xml:space="preserve"> -</v>
      </c>
      <c r="F29" s="14" t="str">
        <f>LEFT(B29,5)&amp;" -"</f>
        <v xml:space="preserve"> -</v>
      </c>
      <c r="G29" s="14">
        <f>C29</f>
        <v>0</v>
      </c>
      <c r="H29" s="32" t="str">
        <f t="shared" ref="H29" si="24">UPPER(TEXT(L29,("DDMMMYY")))</f>
        <v>20APR26</v>
      </c>
      <c r="K29">
        <v>672</v>
      </c>
      <c r="L29" s="33">
        <v>46132</v>
      </c>
      <c r="M29" s="33" t="s">
        <v>115</v>
      </c>
      <c r="N29" t="s">
        <v>118</v>
      </c>
      <c r="O29" t="s">
        <v>108</v>
      </c>
      <c r="P29">
        <v>825</v>
      </c>
      <c r="Q29" s="19"/>
      <c r="R29" s="19" t="str">
        <f t="shared" si="16"/>
        <v>TG - /672</v>
      </c>
      <c r="S29" s="19" t="str">
        <f t="shared" si="17"/>
        <v xml:space="preserve"> -  /0825</v>
      </c>
      <c r="T29" s="19" t="str">
        <f t="shared" si="18"/>
        <v>B77B</v>
      </c>
      <c r="U29" s="32" t="str">
        <f t="shared" si="19"/>
        <v>20APR26</v>
      </c>
      <c r="V29" s="28"/>
    </row>
    <row r="30" spans="5:22" x14ac:dyDescent="0.45">
      <c r="E30" s="14" t="str">
        <f>LEFT(A30,6)&amp;" -"</f>
        <v xml:space="preserve"> -</v>
      </c>
      <c r="F30" s="14" t="str">
        <f>LEFT(B30,5)&amp;" -"</f>
        <v xml:space="preserve"> -</v>
      </c>
      <c r="G30" s="14">
        <f>C30</f>
        <v>0</v>
      </c>
      <c r="H30" s="32" t="str">
        <f t="shared" ref="H30" si="25">UPPER(TEXT(L30,("DDMMMYY")))</f>
        <v>20APR26</v>
      </c>
      <c r="K30">
        <v>475</v>
      </c>
      <c r="L30" s="33">
        <v>46132</v>
      </c>
      <c r="M30" s="33" t="s">
        <v>115</v>
      </c>
      <c r="N30" t="s">
        <v>119</v>
      </c>
      <c r="O30" t="s">
        <v>108</v>
      </c>
      <c r="P30">
        <v>830</v>
      </c>
      <c r="Q30" s="19"/>
      <c r="R30" s="19" t="str">
        <f t="shared" si="16"/>
        <v>TG - /475</v>
      </c>
      <c r="S30" s="19" t="str">
        <f t="shared" si="17"/>
        <v xml:space="preserve"> -  /0830</v>
      </c>
      <c r="T30" s="19" t="str">
        <f t="shared" si="18"/>
        <v>A35B</v>
      </c>
      <c r="U30" s="32" t="str">
        <f t="shared" si="19"/>
        <v>20APR26</v>
      </c>
      <c r="V30" s="28"/>
    </row>
    <row r="31" spans="5:22" x14ac:dyDescent="0.45">
      <c r="E31" s="14" t="str">
        <f t="shared" ref="E31" si="26">LEFT(A31,6)&amp;" -"</f>
        <v xml:space="preserve"> -</v>
      </c>
      <c r="F31" s="14" t="str">
        <f t="shared" ref="F31" si="27">LEFT(B31,5)&amp;" -"</f>
        <v xml:space="preserve"> -</v>
      </c>
      <c r="G31" s="14">
        <f t="shared" ref="G31" si="28">C31</f>
        <v>0</v>
      </c>
      <c r="H31" s="32" t="str">
        <f t="shared" ref="H31" si="29">UPPER(TEXT(L31,("DDMMMYY")))</f>
        <v>00JAN00</v>
      </c>
      <c r="K31"/>
      <c r="L31" s="33"/>
      <c r="M31" s="33"/>
      <c r="N31"/>
      <c r="O31"/>
      <c r="P31"/>
      <c r="Q31" s="19"/>
      <c r="R31" s="19" t="str">
        <f t="shared" si="16"/>
        <v>TG - /</v>
      </c>
      <c r="S31" s="19" t="str">
        <f t="shared" si="17"/>
        <v xml:space="preserve"> -  /0</v>
      </c>
      <c r="T31" s="19" t="str">
        <f t="shared" si="18"/>
        <v>A</v>
      </c>
      <c r="U31" s="32" t="str">
        <f t="shared" si="19"/>
        <v>00JAN00</v>
      </c>
      <c r="V31" s="28"/>
    </row>
    <row r="32" spans="5:22" x14ac:dyDescent="0.45">
      <c r="E32" s="14" t="str">
        <f t="shared" ref="E32:E34" si="30">LEFT(A32,6)&amp;" -"</f>
        <v xml:space="preserve"> -</v>
      </c>
      <c r="F32" s="14" t="str">
        <f t="shared" ref="F32:F34" si="31">LEFT(B32,5)&amp;" -"</f>
        <v xml:space="preserve"> -</v>
      </c>
      <c r="G32" s="14">
        <f t="shared" ref="G32:G34" si="32">C32</f>
        <v>0</v>
      </c>
      <c r="H32" s="32" t="str">
        <f t="shared" ref="H32:H34" si="33">UPPER(TEXT(L32,("DDMMMYY")))</f>
        <v>00JAN00</v>
      </c>
      <c r="K32"/>
      <c r="L32" s="33"/>
      <c r="M32" s="33"/>
      <c r="N32"/>
      <c r="O32"/>
      <c r="P32"/>
      <c r="Q32" s="19"/>
      <c r="R32" s="19" t="str">
        <f t="shared" si="16"/>
        <v>TG - /</v>
      </c>
      <c r="S32" s="19" t="str">
        <f t="shared" si="17"/>
        <v xml:space="preserve"> -  /0</v>
      </c>
      <c r="T32" s="19" t="str">
        <f t="shared" si="18"/>
        <v>A</v>
      </c>
      <c r="U32" s="32" t="str">
        <f t="shared" si="19"/>
        <v>00JAN00</v>
      </c>
      <c r="V32" s="28"/>
    </row>
    <row r="33" spans="5:22" x14ac:dyDescent="0.45">
      <c r="E33" s="14" t="str">
        <f t="shared" si="30"/>
        <v xml:space="preserve"> -</v>
      </c>
      <c r="F33" s="14" t="str">
        <f t="shared" si="31"/>
        <v xml:space="preserve"> -</v>
      </c>
      <c r="G33" s="14">
        <f t="shared" si="32"/>
        <v>0</v>
      </c>
      <c r="H33" s="32" t="str">
        <f t="shared" si="33"/>
        <v>00JAN00</v>
      </c>
      <c r="K33"/>
      <c r="L33" s="33"/>
      <c r="M33" s="33"/>
      <c r="N33"/>
      <c r="O33"/>
      <c r="P33"/>
      <c r="Q33" s="19"/>
      <c r="R33" s="19" t="str">
        <f t="shared" ref="R33" si="34">"TG - /"&amp;K33</f>
        <v>TG - /</v>
      </c>
      <c r="S33" s="19" t="str">
        <f t="shared" ref="S33" si="35">" -  /0"&amp;P33</f>
        <v xml:space="preserve"> -  /0</v>
      </c>
      <c r="T33" s="19" t="str">
        <f t="shared" ref="T33" si="36">IF(LEFT(N33,1)="7","B"&amp;N33,"A"&amp;N33)</f>
        <v>A</v>
      </c>
      <c r="U33" s="32" t="str">
        <f t="shared" ref="U33:U34" si="37">UPPER(TEXT(L33,("DDMMMYY")))</f>
        <v>00JAN00</v>
      </c>
      <c r="V33" s="28"/>
    </row>
    <row r="34" spans="5:22" x14ac:dyDescent="0.45">
      <c r="E34" s="14" t="str">
        <f t="shared" si="30"/>
        <v xml:space="preserve"> -</v>
      </c>
      <c r="F34" s="14" t="str">
        <f t="shared" si="31"/>
        <v xml:space="preserve"> -</v>
      </c>
      <c r="G34" s="14">
        <f t="shared" si="32"/>
        <v>0</v>
      </c>
      <c r="H34" s="32" t="str">
        <f t="shared" si="33"/>
        <v>00JAN00</v>
      </c>
      <c r="K34"/>
      <c r="L34" s="33"/>
      <c r="M34"/>
      <c r="N34"/>
      <c r="O34"/>
      <c r="P34"/>
      <c r="Q34" s="19"/>
      <c r="U34" s="32" t="str">
        <f t="shared" si="37"/>
        <v>00JAN00</v>
      </c>
      <c r="V34" s="28"/>
    </row>
    <row r="35" spans="5:22" x14ac:dyDescent="0.45">
      <c r="K35"/>
      <c r="L35" s="33"/>
      <c r="M35"/>
      <c r="N35"/>
      <c r="O35"/>
      <c r="P35"/>
      <c r="Q35" s="19"/>
      <c r="U35" s="20"/>
      <c r="V35" s="28"/>
    </row>
    <row r="36" spans="5:22" x14ac:dyDescent="0.45">
      <c r="K36" s="26"/>
      <c r="L36" s="27"/>
      <c r="M36" s="26"/>
      <c r="N36" s="26"/>
      <c r="O36" s="26"/>
      <c r="P36" s="26"/>
      <c r="Q36" s="19"/>
      <c r="U36" s="20"/>
      <c r="V36" s="28"/>
    </row>
    <row r="37" spans="5:22" x14ac:dyDescent="0.45">
      <c r="K37" s="26"/>
      <c r="L37" s="27"/>
      <c r="M37" s="26"/>
      <c r="N37" s="26"/>
      <c r="O37" s="26"/>
      <c r="P37" s="26"/>
      <c r="Q37" s="19"/>
      <c r="U37" s="20"/>
      <c r="V37" s="28"/>
    </row>
    <row r="38" spans="5:22" x14ac:dyDescent="0.45">
      <c r="K38" s="26"/>
      <c r="L38" s="27"/>
      <c r="M38" s="26"/>
      <c r="N38" s="26"/>
      <c r="O38" s="26"/>
      <c r="P38" s="26"/>
      <c r="Q38" s="19"/>
      <c r="U38" s="20"/>
      <c r="V38" s="28"/>
    </row>
    <row r="39" spans="5:22" x14ac:dyDescent="0.45">
      <c r="K39" s="26"/>
      <c r="L39" s="27"/>
      <c r="M39" s="26"/>
      <c r="N39" s="26"/>
      <c r="O39" s="26"/>
      <c r="P39" s="26"/>
      <c r="Q39" s="19"/>
      <c r="U39" s="20"/>
      <c r="V39" s="28"/>
    </row>
    <row r="40" spans="5:22" x14ac:dyDescent="0.45">
      <c r="K40" s="26"/>
      <c r="L40" s="27"/>
      <c r="M40" s="26"/>
      <c r="N40" s="26"/>
      <c r="O40" s="26"/>
      <c r="P40" s="26"/>
      <c r="Q40" s="19"/>
      <c r="U40" s="20"/>
      <c r="V40" s="28"/>
    </row>
    <row r="41" spans="5:22" x14ac:dyDescent="0.45">
      <c r="K41" s="26"/>
      <c r="L41" s="27"/>
      <c r="M41" s="26"/>
      <c r="N41" s="26"/>
      <c r="O41" s="26"/>
      <c r="P41" s="26"/>
      <c r="Q41" s="19"/>
      <c r="U41" s="20"/>
      <c r="V41" s="28"/>
    </row>
    <row r="42" spans="5:22" x14ac:dyDescent="0.45">
      <c r="K42" s="26"/>
      <c r="L42" s="27"/>
      <c r="M42" s="26"/>
      <c r="N42" s="26"/>
      <c r="O42" s="26"/>
      <c r="P42" s="26"/>
      <c r="Q42" s="19"/>
      <c r="U42" s="20"/>
      <c r="V42" s="28"/>
    </row>
    <row r="43" spans="5:22" x14ac:dyDescent="0.45">
      <c r="K43" s="26"/>
      <c r="L43" s="27"/>
      <c r="M43" s="26"/>
      <c r="N43" s="26"/>
      <c r="O43" s="26"/>
      <c r="P43" s="26"/>
      <c r="Q43" s="19"/>
      <c r="U43" s="20"/>
      <c r="V43" s="28"/>
    </row>
    <row r="44" spans="5:22" x14ac:dyDescent="0.45">
      <c r="K44" s="26"/>
      <c r="L44" s="27"/>
      <c r="M44" s="26"/>
      <c r="N44" s="26"/>
      <c r="O44" s="26"/>
      <c r="P44" s="26"/>
      <c r="Q44" s="19"/>
      <c r="U44" s="20"/>
      <c r="V44" s="28"/>
    </row>
    <row r="45" spans="5:22" x14ac:dyDescent="0.45">
      <c r="K45" s="26"/>
      <c r="L45" s="27"/>
      <c r="M45" s="26"/>
      <c r="N45" s="26"/>
      <c r="O45" s="26"/>
      <c r="P45" s="26"/>
      <c r="Q45" s="19"/>
      <c r="U45" s="20"/>
      <c r="V45" s="28"/>
    </row>
    <row r="46" spans="5:22" x14ac:dyDescent="0.45">
      <c r="K46" s="26"/>
      <c r="L46" s="27"/>
      <c r="M46" s="26"/>
      <c r="N46" s="26"/>
      <c r="O46" s="26"/>
      <c r="P46" s="26"/>
      <c r="Q46" s="19"/>
      <c r="U46" s="20"/>
      <c r="V46" s="28"/>
    </row>
    <row r="47" spans="5:22" x14ac:dyDescent="0.45">
      <c r="K47" s="26"/>
      <c r="L47" s="27"/>
      <c r="M47" s="26"/>
      <c r="N47" s="26"/>
      <c r="O47" s="26"/>
      <c r="P47" s="26"/>
      <c r="Q47" s="19"/>
      <c r="U47" s="20"/>
      <c r="V47" s="28"/>
    </row>
    <row r="48" spans="5:22" x14ac:dyDescent="0.45">
      <c r="K48" s="26"/>
      <c r="L48" s="27"/>
      <c r="M48" s="26"/>
      <c r="N48" s="26"/>
      <c r="O48" s="26"/>
      <c r="P48" s="26"/>
      <c r="Q48" s="19"/>
      <c r="U48" s="20"/>
      <c r="V48" s="28"/>
    </row>
    <row r="49" spans="11:22" x14ac:dyDescent="0.45">
      <c r="K49" s="26"/>
      <c r="L49" s="27"/>
      <c r="M49" s="26"/>
      <c r="N49" s="26"/>
      <c r="O49" s="26"/>
      <c r="P49" s="26"/>
      <c r="Q49" s="19"/>
      <c r="U49" s="20"/>
      <c r="V49" s="28"/>
    </row>
    <row r="50" spans="11:22" x14ac:dyDescent="0.45">
      <c r="K50" s="26"/>
      <c r="L50" s="27"/>
      <c r="M50" s="26"/>
      <c r="N50" s="26"/>
      <c r="O50" s="26"/>
      <c r="P50" s="26"/>
      <c r="Q50" s="19"/>
      <c r="U50" s="20"/>
      <c r="V50" s="28"/>
    </row>
    <row r="51" spans="11:22" x14ac:dyDescent="0.45">
      <c r="K51" s="26"/>
      <c r="L51" s="27"/>
      <c r="M51" s="26"/>
      <c r="N51" s="26"/>
      <c r="O51" s="26"/>
      <c r="P51" s="26"/>
      <c r="Q51" s="19"/>
      <c r="U51" s="20"/>
      <c r="V51" s="28"/>
    </row>
    <row r="52" spans="11:22" x14ac:dyDescent="0.45">
      <c r="K52" s="26"/>
      <c r="L52" s="27"/>
      <c r="M52" s="26"/>
      <c r="N52" s="26"/>
      <c r="O52" s="26"/>
      <c r="P52" s="26"/>
      <c r="Q52" s="19"/>
      <c r="U52" s="20"/>
      <c r="V52" s="28"/>
    </row>
    <row r="53" spans="11:22" x14ac:dyDescent="0.45">
      <c r="K53" s="26"/>
      <c r="L53" s="27"/>
      <c r="M53" s="26"/>
      <c r="N53" s="26"/>
      <c r="O53" s="26"/>
      <c r="P53" s="26"/>
      <c r="Q53" s="19"/>
      <c r="U53" s="20"/>
      <c r="V53" s="28"/>
    </row>
    <row r="54" spans="11:22" x14ac:dyDescent="0.45">
      <c r="K54" s="26"/>
      <c r="L54" s="27"/>
      <c r="M54" s="26"/>
      <c r="N54" s="26"/>
      <c r="O54" s="26"/>
      <c r="P54" s="26"/>
      <c r="Q54" s="19"/>
      <c r="U54" s="20"/>
      <c r="V54" s="28"/>
    </row>
    <row r="55" spans="11:22" x14ac:dyDescent="0.45">
      <c r="K55" s="26"/>
      <c r="L55" s="27"/>
      <c r="M55" s="26"/>
      <c r="N55" s="26"/>
      <c r="O55" s="26"/>
      <c r="P55" s="26"/>
      <c r="Q55" s="19"/>
      <c r="U55" s="20"/>
      <c r="V55" s="28"/>
    </row>
    <row r="56" spans="11:22" x14ac:dyDescent="0.45">
      <c r="K56" s="26"/>
      <c r="L56" s="27"/>
      <c r="M56" s="26"/>
      <c r="N56" s="26"/>
      <c r="O56" s="26"/>
      <c r="P56" s="26"/>
      <c r="Q56" s="19"/>
      <c r="U56" s="20"/>
      <c r="V56" s="28"/>
    </row>
    <row r="57" spans="11:22" x14ac:dyDescent="0.45">
      <c r="K57" s="19"/>
      <c r="L57" s="20"/>
      <c r="M57" s="19"/>
      <c r="N57" s="29"/>
      <c r="O57" s="19"/>
      <c r="P57" s="19"/>
      <c r="Q57" s="19"/>
      <c r="U57" s="20"/>
      <c r="V57" s="28"/>
    </row>
    <row r="58" spans="11:22" x14ac:dyDescent="0.45">
      <c r="K58" s="19"/>
      <c r="L58" s="20"/>
      <c r="M58" s="19"/>
      <c r="N58" s="29"/>
      <c r="O58" s="19"/>
      <c r="P58" s="19"/>
      <c r="Q58" s="19"/>
      <c r="U58" s="20"/>
      <c r="V58" s="28"/>
    </row>
    <row r="59" spans="11:22" x14ac:dyDescent="0.45">
      <c r="K59" s="19"/>
      <c r="L59" s="20"/>
      <c r="M59" s="19"/>
      <c r="N59" s="29"/>
      <c r="O59" s="19"/>
      <c r="P59" s="19"/>
      <c r="Q59" s="19"/>
      <c r="U59" s="20"/>
      <c r="V59" s="28"/>
    </row>
    <row r="60" spans="11:22" x14ac:dyDescent="0.45">
      <c r="K60" s="19"/>
      <c r="L60" s="20"/>
      <c r="M60" s="19"/>
      <c r="N60" s="29"/>
      <c r="O60" s="19"/>
      <c r="P60" s="19"/>
      <c r="Q60" s="19"/>
      <c r="U60" s="20"/>
      <c r="V60" s="28"/>
    </row>
    <row r="61" spans="11:22" x14ac:dyDescent="0.45">
      <c r="K61" s="19"/>
      <c r="L61" s="20"/>
      <c r="M61" s="19"/>
      <c r="N61" s="29"/>
      <c r="O61" s="19"/>
      <c r="P61" s="19"/>
      <c r="Q61" s="19"/>
      <c r="U61" s="20"/>
      <c r="V61" s="28"/>
    </row>
    <row r="62" spans="11:22" x14ac:dyDescent="0.45">
      <c r="K62" s="19"/>
      <c r="L62" s="20"/>
      <c r="M62" s="19"/>
      <c r="N62" s="29"/>
      <c r="O62" s="19"/>
      <c r="P62" s="19"/>
      <c r="Q62" s="19"/>
      <c r="U62" s="20"/>
      <c r="V62" s="28"/>
    </row>
    <row r="63" spans="11:22" x14ac:dyDescent="0.45">
      <c r="K63" s="19"/>
      <c r="L63" s="20"/>
      <c r="M63" s="19"/>
      <c r="N63" s="29"/>
      <c r="O63" s="19"/>
      <c r="P63" s="19"/>
      <c r="Q63" s="19"/>
      <c r="U63" s="20"/>
      <c r="V63" s="28"/>
    </row>
    <row r="64" spans="11:22" x14ac:dyDescent="0.45">
      <c r="K64" s="19"/>
      <c r="L64" s="20"/>
      <c r="M64" s="19"/>
      <c r="N64" s="29"/>
      <c r="O64" s="19"/>
      <c r="P64" s="19"/>
      <c r="Q64" s="19"/>
      <c r="U64" s="20"/>
      <c r="V64" s="28"/>
    </row>
    <row r="65" spans="11:22" x14ac:dyDescent="0.45">
      <c r="K65" s="19"/>
      <c r="L65" s="20"/>
      <c r="M65" s="19"/>
      <c r="N65" s="29"/>
      <c r="O65" s="19"/>
      <c r="P65" s="19"/>
      <c r="Q65" s="19"/>
      <c r="U65" s="20"/>
      <c r="V65" s="28"/>
    </row>
    <row r="66" spans="11:22" x14ac:dyDescent="0.45">
      <c r="K66" s="19"/>
      <c r="L66" s="20"/>
      <c r="M66" s="19"/>
      <c r="N66" s="29"/>
      <c r="O66" s="19"/>
      <c r="P66" s="19"/>
      <c r="Q66" s="19"/>
      <c r="U66" s="20"/>
      <c r="V66" s="28"/>
    </row>
    <row r="67" spans="11:22" x14ac:dyDescent="0.45">
      <c r="K67" s="19"/>
      <c r="L67" s="20"/>
      <c r="M67" s="19"/>
      <c r="N67" s="29"/>
      <c r="O67" s="19"/>
      <c r="P67" s="19"/>
      <c r="Q67" s="19"/>
      <c r="U67" s="20"/>
      <c r="V67" s="28"/>
    </row>
    <row r="68" spans="11:22" x14ac:dyDescent="0.45">
      <c r="K68" s="19"/>
      <c r="L68" s="20"/>
      <c r="M68" s="19"/>
      <c r="N68" s="29"/>
      <c r="O68" s="19"/>
      <c r="P68" s="19"/>
      <c r="Q68" s="19"/>
      <c r="U68" s="20"/>
      <c r="V68" s="28"/>
    </row>
    <row r="69" spans="11:22" x14ac:dyDescent="0.45">
      <c r="K69" s="19"/>
      <c r="L69" s="20"/>
      <c r="M69" s="19"/>
      <c r="N69" s="29"/>
      <c r="O69" s="19"/>
      <c r="P69" s="19"/>
      <c r="Q69" s="19"/>
      <c r="U69" s="20"/>
      <c r="V69" s="28"/>
    </row>
    <row r="70" spans="11:22" x14ac:dyDescent="0.45">
      <c r="K70" s="19"/>
      <c r="L70" s="20"/>
      <c r="M70" s="19"/>
      <c r="N70" s="29"/>
      <c r="O70" s="19"/>
      <c r="P70" s="19"/>
      <c r="Q70" s="19"/>
      <c r="U70" s="20"/>
      <c r="V70" s="28"/>
    </row>
    <row r="71" spans="11:22" x14ac:dyDescent="0.45">
      <c r="K71" s="19"/>
      <c r="L71" s="20"/>
      <c r="M71" s="19"/>
      <c r="N71" s="29"/>
      <c r="O71" s="19"/>
      <c r="P71" s="19"/>
      <c r="Q71" s="19"/>
      <c r="U71" s="20"/>
      <c r="V71" s="28"/>
    </row>
    <row r="72" spans="11:22" x14ac:dyDescent="0.45">
      <c r="K72" s="19"/>
      <c r="L72" s="20"/>
      <c r="M72" s="19"/>
      <c r="N72" s="29"/>
      <c r="O72" s="19"/>
      <c r="P72" s="19"/>
      <c r="Q72" s="19"/>
      <c r="U72" s="20"/>
      <c r="V72" s="28"/>
    </row>
    <row r="73" spans="11:22" x14ac:dyDescent="0.45">
      <c r="K73" s="19"/>
      <c r="L73" s="20"/>
      <c r="M73" s="19"/>
      <c r="N73" s="29"/>
      <c r="O73" s="19"/>
      <c r="P73" s="19"/>
      <c r="Q73" s="19"/>
      <c r="U73" s="20"/>
      <c r="V73" s="28"/>
    </row>
    <row r="74" spans="11:22" x14ac:dyDescent="0.45">
      <c r="K74" s="19"/>
      <c r="L74" s="20"/>
      <c r="M74" s="19"/>
      <c r="N74" s="29"/>
      <c r="O74" s="19"/>
      <c r="P74" s="19"/>
      <c r="Q74" s="19"/>
      <c r="U74" s="20"/>
      <c r="V74" s="28"/>
    </row>
    <row r="75" spans="11:22" x14ac:dyDescent="0.45">
      <c r="K75" s="19"/>
      <c r="L75" s="20"/>
      <c r="M75" s="19"/>
      <c r="N75" s="29"/>
      <c r="O75" s="19"/>
      <c r="P75" s="19"/>
      <c r="Q75" s="19"/>
      <c r="U75" s="20"/>
      <c r="V75" s="28"/>
    </row>
    <row r="76" spans="11:22" x14ac:dyDescent="0.45">
      <c r="K76" s="19"/>
      <c r="L76" s="20"/>
      <c r="M76" s="19"/>
      <c r="N76" s="29"/>
      <c r="O76" s="19"/>
      <c r="P76" s="19"/>
      <c r="Q76" s="19"/>
      <c r="U76" s="20"/>
      <c r="V76" s="28"/>
    </row>
    <row r="77" spans="11:22" x14ac:dyDescent="0.45">
      <c r="K77" s="19"/>
      <c r="L77" s="20"/>
      <c r="M77" s="19"/>
      <c r="N77" s="29"/>
      <c r="O77" s="19"/>
      <c r="P77" s="19"/>
      <c r="Q77" s="19"/>
      <c r="U77" s="20"/>
      <c r="V77" s="28"/>
    </row>
    <row r="78" spans="11:22" x14ac:dyDescent="0.45">
      <c r="K78" s="19"/>
      <c r="L78" s="20"/>
      <c r="M78" s="19"/>
      <c r="N78" s="29"/>
      <c r="O78" s="19"/>
      <c r="P78" s="19"/>
      <c r="Q78" s="19"/>
      <c r="U78" s="20"/>
      <c r="V78" s="28"/>
    </row>
    <row r="79" spans="11:22" x14ac:dyDescent="0.45">
      <c r="K79" s="19"/>
      <c r="L79" s="20"/>
      <c r="M79" s="19"/>
      <c r="N79" s="29"/>
      <c r="O79" s="19"/>
      <c r="P79" s="19"/>
      <c r="Q79" s="19"/>
      <c r="U79" s="20"/>
      <c r="V79" s="28"/>
    </row>
    <row r="80" spans="11:22" x14ac:dyDescent="0.45">
      <c r="K80" s="19"/>
      <c r="L80" s="20"/>
      <c r="M80" s="19"/>
      <c r="N80" s="29"/>
      <c r="O80" s="19"/>
      <c r="P80" s="19"/>
      <c r="Q80" s="19"/>
      <c r="U80" s="20"/>
      <c r="V80" s="28"/>
    </row>
    <row r="81" spans="11:22" x14ac:dyDescent="0.45">
      <c r="K81" s="19"/>
      <c r="L81" s="20"/>
      <c r="M81" s="19"/>
      <c r="N81" s="29"/>
      <c r="O81" s="19"/>
      <c r="P81" s="19"/>
      <c r="Q81" s="19"/>
      <c r="U81" s="20"/>
      <c r="V81" s="28"/>
    </row>
    <row r="82" spans="11:22" x14ac:dyDescent="0.45">
      <c r="K82" s="19"/>
      <c r="L82" s="20"/>
      <c r="M82" s="19"/>
      <c r="N82" s="29"/>
      <c r="O82" s="19"/>
      <c r="P82" s="19"/>
      <c r="Q82" s="19"/>
      <c r="U82" s="20"/>
      <c r="V82" s="28"/>
    </row>
    <row r="83" spans="11:22" x14ac:dyDescent="0.45">
      <c r="K83" s="19"/>
      <c r="L83" s="20"/>
      <c r="M83" s="19"/>
      <c r="N83" s="29"/>
      <c r="O83" s="19"/>
      <c r="P83" s="19"/>
      <c r="Q83" s="19"/>
      <c r="U83" s="20"/>
      <c r="V83" s="28"/>
    </row>
    <row r="84" spans="11:22" x14ac:dyDescent="0.45">
      <c r="K84" s="19"/>
      <c r="L84" s="20"/>
      <c r="M84" s="19"/>
      <c r="N84" s="29"/>
      <c r="O84" s="19"/>
      <c r="P84" s="19"/>
      <c r="Q84" s="19"/>
      <c r="U84" s="20"/>
      <c r="V84" s="28"/>
    </row>
    <row r="85" spans="11:22" x14ac:dyDescent="0.45">
      <c r="K85" s="19"/>
      <c r="L85" s="20"/>
      <c r="M85" s="19"/>
      <c r="N85" s="29"/>
      <c r="O85" s="19"/>
      <c r="P85" s="19"/>
      <c r="Q85" s="19"/>
      <c r="U85" s="20"/>
      <c r="V85" s="28"/>
    </row>
    <row r="86" spans="11:22" x14ac:dyDescent="0.45">
      <c r="K86" s="19"/>
      <c r="L86" s="20"/>
      <c r="M86" s="19"/>
      <c r="N86" s="29"/>
      <c r="O86" s="19"/>
      <c r="P86" s="19"/>
      <c r="Q86" s="19"/>
      <c r="U86" s="20"/>
      <c r="V86" s="28"/>
    </row>
    <row r="87" spans="11:22" x14ac:dyDescent="0.45">
      <c r="K87" s="19"/>
      <c r="L87" s="20"/>
      <c r="M87" s="19"/>
      <c r="N87" s="29"/>
      <c r="O87" s="19"/>
      <c r="P87" s="19"/>
      <c r="Q87" s="19"/>
      <c r="U87" s="20"/>
      <c r="V87" s="28"/>
    </row>
    <row r="88" spans="11:22" x14ac:dyDescent="0.45">
      <c r="K88" s="19"/>
      <c r="L88" s="20"/>
      <c r="M88" s="19"/>
      <c r="N88" s="29"/>
      <c r="O88" s="19"/>
      <c r="P88" s="19"/>
      <c r="Q88" s="19"/>
      <c r="U88" s="20"/>
      <c r="V88" s="28"/>
    </row>
    <row r="89" spans="11:22" x14ac:dyDescent="0.45">
      <c r="K89" s="19"/>
      <c r="L89" s="20"/>
      <c r="M89" s="19"/>
      <c r="N89" s="29"/>
      <c r="O89" s="19"/>
      <c r="P89" s="19"/>
      <c r="Q89" s="19"/>
      <c r="U89" s="20"/>
      <c r="V89" s="28"/>
    </row>
    <row r="90" spans="11:22" x14ac:dyDescent="0.45">
      <c r="K90" s="19"/>
      <c r="L90" s="20"/>
      <c r="M90" s="19"/>
      <c r="N90" s="29"/>
      <c r="O90" s="19"/>
      <c r="P90" s="19"/>
      <c r="Q90" s="19"/>
      <c r="U90" s="20"/>
      <c r="V90" s="28"/>
    </row>
    <row r="91" spans="11:22" x14ac:dyDescent="0.45">
      <c r="K91" s="19"/>
      <c r="L91" s="20"/>
      <c r="M91" s="19"/>
      <c r="N91" s="29"/>
      <c r="O91" s="19"/>
      <c r="P91" s="19"/>
      <c r="Q91" s="19"/>
      <c r="U91" s="20"/>
      <c r="V91" s="28"/>
    </row>
    <row r="92" spans="11:22" x14ac:dyDescent="0.45">
      <c r="K92" s="19"/>
      <c r="L92" s="20"/>
      <c r="M92" s="19"/>
      <c r="N92" s="29"/>
      <c r="O92" s="19"/>
      <c r="P92" s="19"/>
      <c r="Q92" s="19"/>
      <c r="U92" s="20"/>
      <c r="V92" s="28"/>
    </row>
    <row r="93" spans="11:22" x14ac:dyDescent="0.45">
      <c r="K93" s="19"/>
      <c r="L93" s="20"/>
      <c r="M93" s="19"/>
      <c r="N93" s="29"/>
      <c r="O93" s="19"/>
      <c r="P93" s="19"/>
      <c r="Q93" s="19"/>
      <c r="U93" s="20"/>
      <c r="V93" s="28"/>
    </row>
    <row r="94" spans="11:22" x14ac:dyDescent="0.45">
      <c r="K94" s="19"/>
      <c r="L94" s="20"/>
      <c r="M94" s="19"/>
      <c r="N94" s="29"/>
      <c r="O94" s="19"/>
      <c r="P94" s="19"/>
      <c r="Q94" s="19"/>
      <c r="U94" s="20"/>
      <c r="V94" s="28"/>
    </row>
    <row r="95" spans="11:22" x14ac:dyDescent="0.45">
      <c r="K95" s="19"/>
      <c r="L95" s="20"/>
      <c r="M95" s="19"/>
      <c r="N95" s="29"/>
      <c r="O95" s="19"/>
      <c r="P95" s="19"/>
      <c r="Q95" s="19"/>
      <c r="U95" s="20"/>
      <c r="V95" s="28"/>
    </row>
    <row r="96" spans="11:22" x14ac:dyDescent="0.45">
      <c r="K96" s="19"/>
      <c r="L96" s="20"/>
      <c r="M96" s="19"/>
      <c r="N96" s="29"/>
      <c r="O96" s="19"/>
      <c r="P96" s="19"/>
      <c r="Q96" s="19"/>
      <c r="U96" s="20"/>
      <c r="V96" s="28"/>
    </row>
    <row r="97" spans="11:22" x14ac:dyDescent="0.45">
      <c r="K97" s="19"/>
      <c r="L97" s="20"/>
      <c r="M97" s="19"/>
      <c r="N97" s="29"/>
      <c r="O97" s="19"/>
      <c r="P97" s="19"/>
      <c r="Q97" s="19"/>
      <c r="U97" s="20"/>
      <c r="V97" s="28"/>
    </row>
    <row r="98" spans="11:22" x14ac:dyDescent="0.45">
      <c r="K98" s="19"/>
      <c r="L98" s="20"/>
      <c r="M98" s="19"/>
      <c r="N98" s="29"/>
      <c r="O98" s="19"/>
      <c r="P98" s="19"/>
      <c r="Q98" s="19"/>
      <c r="U98" s="20"/>
      <c r="V98" s="28"/>
    </row>
    <row r="99" spans="11:22" x14ac:dyDescent="0.45">
      <c r="K99" s="19"/>
      <c r="L99" s="20"/>
      <c r="M99" s="19"/>
      <c r="N99" s="29"/>
      <c r="O99" s="19"/>
      <c r="P99" s="19"/>
      <c r="Q99" s="19"/>
      <c r="U99" s="20"/>
      <c r="V99" s="28"/>
    </row>
    <row r="100" spans="11:22" x14ac:dyDescent="0.45">
      <c r="K100" s="19"/>
      <c r="L100" s="20"/>
      <c r="M100" s="19"/>
      <c r="N100" s="29"/>
      <c r="O100" s="19"/>
      <c r="P100" s="19"/>
      <c r="Q100" s="19"/>
      <c r="U100" s="20"/>
      <c r="V100" s="28"/>
    </row>
    <row r="101" spans="11:22" x14ac:dyDescent="0.45">
      <c r="K101" s="19"/>
      <c r="L101" s="20"/>
      <c r="M101" s="19"/>
      <c r="N101" s="29"/>
      <c r="O101" s="19"/>
      <c r="P101" s="19"/>
      <c r="Q101" s="19"/>
      <c r="U101" s="20"/>
      <c r="V101" s="28"/>
    </row>
    <row r="102" spans="11:22" x14ac:dyDescent="0.45">
      <c r="K102" s="19"/>
      <c r="L102" s="20"/>
      <c r="M102" s="19"/>
      <c r="N102" s="29"/>
      <c r="O102" s="19"/>
      <c r="P102" s="19"/>
      <c r="Q102" s="19"/>
      <c r="U102" s="20"/>
      <c r="V102" s="28"/>
    </row>
    <row r="103" spans="11:22" x14ac:dyDescent="0.45">
      <c r="K103" s="19"/>
      <c r="L103" s="20"/>
      <c r="M103" s="19"/>
      <c r="N103" s="29"/>
      <c r="O103" s="19"/>
      <c r="P103" s="19"/>
      <c r="Q103" s="19"/>
      <c r="U103" s="20"/>
      <c r="V103" s="28"/>
    </row>
    <row r="104" spans="11:22" x14ac:dyDescent="0.45">
      <c r="K104" s="19"/>
      <c r="L104" s="20"/>
      <c r="M104" s="19"/>
      <c r="N104" s="29"/>
      <c r="O104" s="19"/>
      <c r="P104" s="19"/>
      <c r="Q104" s="19"/>
      <c r="U104" s="20"/>
      <c r="V104" s="28"/>
    </row>
    <row r="105" spans="11:22" x14ac:dyDescent="0.45">
      <c r="K105" s="19"/>
      <c r="L105" s="20"/>
      <c r="M105" s="19"/>
      <c r="N105" s="29"/>
      <c r="O105" s="19"/>
      <c r="P105" s="19"/>
      <c r="Q105" s="19"/>
      <c r="U105" s="20"/>
      <c r="V105" s="28"/>
    </row>
    <row r="106" spans="11:22" x14ac:dyDescent="0.45">
      <c r="K106" s="19"/>
      <c r="L106" s="20"/>
      <c r="M106" s="19"/>
      <c r="N106" s="29"/>
      <c r="O106" s="19"/>
      <c r="P106" s="19"/>
      <c r="Q106" s="19"/>
      <c r="U106" s="20"/>
      <c r="V106" s="28"/>
    </row>
    <row r="107" spans="11:22" x14ac:dyDescent="0.45">
      <c r="K107" s="19"/>
      <c r="L107" s="20"/>
      <c r="M107" s="19"/>
      <c r="N107" s="29"/>
      <c r="O107" s="19"/>
      <c r="P107" s="19"/>
      <c r="Q107" s="19"/>
      <c r="U107" s="20"/>
      <c r="V107" s="28"/>
    </row>
    <row r="108" spans="11:22" x14ac:dyDescent="0.45">
      <c r="K108" s="19"/>
      <c r="L108" s="20"/>
      <c r="M108" s="19"/>
      <c r="N108" s="29"/>
      <c r="O108" s="19"/>
      <c r="P108" s="19"/>
      <c r="Q108" s="19"/>
      <c r="U108" s="20"/>
      <c r="V108" s="28"/>
    </row>
    <row r="109" spans="11:22" x14ac:dyDescent="0.45">
      <c r="K109" s="19"/>
      <c r="L109" s="20"/>
      <c r="M109" s="19"/>
      <c r="N109" s="29"/>
      <c r="O109" s="19"/>
      <c r="P109" s="19"/>
      <c r="Q109" s="19"/>
      <c r="U109" s="20"/>
      <c r="V109" s="28"/>
    </row>
    <row r="110" spans="11:22" x14ac:dyDescent="0.45">
      <c r="K110" s="19"/>
      <c r="L110" s="20"/>
      <c r="M110" s="19"/>
      <c r="N110" s="29"/>
      <c r="O110" s="19"/>
      <c r="P110" s="19"/>
      <c r="Q110" s="19"/>
      <c r="U110" s="20"/>
      <c r="V110" s="28"/>
    </row>
    <row r="111" spans="11:22" x14ac:dyDescent="0.45">
      <c r="K111" s="19"/>
      <c r="L111" s="20"/>
      <c r="M111" s="19"/>
      <c r="N111" s="29"/>
      <c r="O111" s="19"/>
      <c r="P111" s="19"/>
      <c r="Q111" s="19"/>
      <c r="U111" s="20"/>
      <c r="V111" s="28"/>
    </row>
    <row r="112" spans="11:22" x14ac:dyDescent="0.45">
      <c r="K112" s="19"/>
      <c r="L112" s="20"/>
      <c r="M112" s="19"/>
      <c r="N112" s="29"/>
      <c r="O112" s="19"/>
      <c r="P112" s="19"/>
      <c r="Q112" s="19"/>
      <c r="U112" s="20"/>
      <c r="V112" s="28"/>
    </row>
    <row r="113" spans="11:22" x14ac:dyDescent="0.45">
      <c r="K113" s="19"/>
      <c r="L113" s="20"/>
      <c r="M113" s="19"/>
      <c r="N113" s="29"/>
      <c r="O113" s="19"/>
      <c r="P113" s="19"/>
      <c r="Q113" s="19"/>
      <c r="U113" s="20"/>
      <c r="V113" s="28"/>
    </row>
    <row r="114" spans="11:22" x14ac:dyDescent="0.45">
      <c r="K114" s="19"/>
      <c r="L114" s="20"/>
      <c r="M114" s="19"/>
      <c r="N114" s="29"/>
      <c r="O114" s="19"/>
      <c r="P114" s="19"/>
      <c r="Q114" s="19"/>
      <c r="U114" s="20"/>
      <c r="V114" s="28"/>
    </row>
    <row r="115" spans="11:22" x14ac:dyDescent="0.45">
      <c r="K115" s="19"/>
      <c r="L115" s="20"/>
      <c r="M115" s="19"/>
      <c r="N115" s="29"/>
      <c r="O115" s="19"/>
      <c r="P115" s="19"/>
      <c r="Q115" s="19"/>
      <c r="U115" s="20"/>
      <c r="V115" s="28"/>
    </row>
    <row r="116" spans="11:22" x14ac:dyDescent="0.45">
      <c r="K116" s="19"/>
      <c r="L116" s="20"/>
      <c r="M116" s="19"/>
      <c r="N116" s="29"/>
      <c r="O116" s="19"/>
      <c r="P116" s="19"/>
      <c r="Q116" s="19"/>
      <c r="U116" s="20"/>
      <c r="V116" s="28"/>
    </row>
    <row r="117" spans="11:22" x14ac:dyDescent="0.45">
      <c r="K117" s="19"/>
      <c r="L117" s="20"/>
      <c r="M117" s="19"/>
      <c r="N117" s="29"/>
      <c r="O117" s="19"/>
      <c r="P117" s="19"/>
      <c r="Q117" s="19"/>
      <c r="U117" s="20"/>
      <c r="V117" s="28"/>
    </row>
    <row r="118" spans="11:22" x14ac:dyDescent="0.45">
      <c r="K118" s="19"/>
      <c r="L118" s="20"/>
      <c r="M118" s="19"/>
      <c r="N118" s="29"/>
      <c r="O118" s="19"/>
      <c r="P118" s="19"/>
      <c r="Q118" s="19"/>
      <c r="U118" s="20"/>
      <c r="V118" s="28"/>
    </row>
    <row r="119" spans="11:22" x14ac:dyDescent="0.45">
      <c r="K119" s="19"/>
      <c r="L119" s="20"/>
      <c r="M119" s="19"/>
      <c r="N119" s="29"/>
      <c r="O119" s="19"/>
      <c r="P119" s="19"/>
      <c r="Q119" s="19"/>
      <c r="U119" s="20"/>
      <c r="V119" s="28"/>
    </row>
    <row r="120" spans="11:22" x14ac:dyDescent="0.45">
      <c r="K120" s="19"/>
      <c r="L120" s="20"/>
      <c r="M120" s="19"/>
      <c r="N120" s="29"/>
      <c r="O120" s="19"/>
      <c r="P120" s="19"/>
      <c r="Q120" s="19"/>
      <c r="U120" s="20"/>
      <c r="V120" s="28"/>
    </row>
    <row r="121" spans="11:22" x14ac:dyDescent="0.45">
      <c r="K121" s="19"/>
      <c r="L121" s="20"/>
      <c r="M121" s="19"/>
      <c r="N121" s="29"/>
      <c r="O121" s="19"/>
      <c r="P121" s="19"/>
      <c r="Q121" s="19"/>
      <c r="U121" s="20"/>
      <c r="V121" s="28"/>
    </row>
    <row r="122" spans="11:22" x14ac:dyDescent="0.45">
      <c r="K122" s="19"/>
      <c r="L122" s="20"/>
      <c r="M122" s="19"/>
      <c r="N122" s="29"/>
      <c r="O122" s="19"/>
      <c r="P122" s="19"/>
      <c r="Q122" s="19"/>
      <c r="U122" s="20"/>
      <c r="V122" s="28"/>
    </row>
    <row r="123" spans="11:22" x14ac:dyDescent="0.45">
      <c r="K123" s="19"/>
      <c r="L123" s="20"/>
      <c r="M123" s="19"/>
      <c r="N123" s="29"/>
      <c r="O123" s="19"/>
      <c r="P123" s="19"/>
      <c r="Q123" s="19"/>
      <c r="U123" s="20"/>
      <c r="V123" s="28"/>
    </row>
    <row r="124" spans="11:22" x14ac:dyDescent="0.45">
      <c r="K124" s="19"/>
      <c r="L124" s="20"/>
      <c r="M124" s="19"/>
      <c r="N124" s="29"/>
      <c r="O124" s="19"/>
      <c r="P124" s="19"/>
      <c r="Q124" s="19"/>
      <c r="U124" s="20"/>
      <c r="V124" s="28"/>
    </row>
    <row r="125" spans="11:22" x14ac:dyDescent="0.45">
      <c r="K125" s="19"/>
      <c r="L125" s="20"/>
      <c r="M125" s="19"/>
      <c r="N125" s="29"/>
      <c r="O125" s="19"/>
      <c r="P125" s="19"/>
      <c r="Q125" s="19"/>
      <c r="U125" s="20"/>
      <c r="V125" s="28"/>
    </row>
    <row r="126" spans="11:22" x14ac:dyDescent="0.45">
      <c r="K126" s="19"/>
      <c r="L126" s="20"/>
      <c r="M126" s="19"/>
      <c r="N126" s="29"/>
      <c r="O126" s="19"/>
      <c r="P126" s="19"/>
      <c r="Q126" s="19"/>
      <c r="U126" s="20"/>
      <c r="V126" s="28"/>
    </row>
    <row r="127" spans="11:22" x14ac:dyDescent="0.45">
      <c r="K127" s="19"/>
      <c r="L127" s="20"/>
      <c r="M127" s="19"/>
      <c r="N127" s="29"/>
      <c r="O127" s="19"/>
      <c r="P127" s="19"/>
      <c r="Q127" s="19"/>
      <c r="U127" s="20"/>
      <c r="V127" s="28"/>
    </row>
    <row r="128" spans="11:22" x14ac:dyDescent="0.45">
      <c r="K128" s="19"/>
      <c r="L128" s="20"/>
      <c r="M128" s="19"/>
      <c r="N128" s="29"/>
      <c r="O128" s="19"/>
      <c r="P128" s="19"/>
      <c r="Q128" s="19"/>
      <c r="U128" s="20"/>
      <c r="V128" s="28"/>
    </row>
    <row r="129" spans="11:22" x14ac:dyDescent="0.45">
      <c r="K129" s="19"/>
      <c r="L129" s="20"/>
      <c r="M129" s="19"/>
      <c r="N129" s="29"/>
      <c r="O129" s="19"/>
      <c r="P129" s="19"/>
      <c r="Q129" s="19"/>
      <c r="U129" s="20"/>
      <c r="V129" s="28"/>
    </row>
    <row r="130" spans="11:22" x14ac:dyDescent="0.45">
      <c r="K130" s="19"/>
      <c r="L130" s="20"/>
      <c r="M130" s="19"/>
      <c r="N130" s="29"/>
      <c r="O130" s="19"/>
      <c r="P130" s="19"/>
      <c r="Q130" s="19"/>
      <c r="U130" s="20"/>
      <c r="V130" s="28"/>
    </row>
    <row r="131" spans="11:22" x14ac:dyDescent="0.45">
      <c r="K131" s="19"/>
      <c r="L131" s="20"/>
      <c r="M131" s="19"/>
      <c r="N131" s="29"/>
      <c r="O131" s="19"/>
      <c r="P131" s="19"/>
      <c r="Q131" s="19"/>
      <c r="U131" s="20"/>
      <c r="V131" s="28"/>
    </row>
    <row r="132" spans="11:22" x14ac:dyDescent="0.45">
      <c r="K132" s="19"/>
      <c r="L132" s="20"/>
      <c r="M132" s="19"/>
      <c r="N132" s="29"/>
      <c r="O132" s="19"/>
      <c r="P132" s="19"/>
      <c r="Q132" s="19"/>
      <c r="U132" s="20"/>
      <c r="V132" s="28"/>
    </row>
    <row r="133" spans="11:22" x14ac:dyDescent="0.45">
      <c r="K133" s="19"/>
      <c r="L133" s="20"/>
      <c r="M133" s="19"/>
      <c r="N133" s="29"/>
      <c r="O133" s="19"/>
      <c r="P133" s="19"/>
      <c r="Q133" s="19"/>
      <c r="U133" s="20"/>
      <c r="V133" s="28"/>
    </row>
    <row r="134" spans="11:22" x14ac:dyDescent="0.45">
      <c r="K134" s="19"/>
      <c r="L134" s="20"/>
      <c r="M134" s="19"/>
      <c r="N134" s="29"/>
      <c r="O134" s="19"/>
      <c r="P134" s="19"/>
      <c r="Q134" s="19"/>
      <c r="U134" s="20"/>
      <c r="V134" s="28"/>
    </row>
    <row r="135" spans="11:22" x14ac:dyDescent="0.45">
      <c r="K135" s="19"/>
      <c r="L135" s="20"/>
      <c r="M135" s="19"/>
      <c r="N135" s="29"/>
      <c r="O135" s="19"/>
      <c r="P135" s="19"/>
      <c r="Q135" s="19"/>
      <c r="U135" s="20"/>
      <c r="V135" s="28"/>
    </row>
    <row r="136" spans="11:22" x14ac:dyDescent="0.45">
      <c r="K136" s="19"/>
      <c r="L136" s="20"/>
      <c r="M136" s="19"/>
      <c r="N136" s="29"/>
      <c r="O136" s="19"/>
      <c r="P136" s="19"/>
      <c r="Q136" s="19"/>
      <c r="U136" s="20"/>
      <c r="V136" s="28"/>
    </row>
    <row r="137" spans="11:22" x14ac:dyDescent="0.45">
      <c r="K137" s="19"/>
      <c r="L137" s="20"/>
      <c r="M137" s="19"/>
      <c r="N137" s="29"/>
      <c r="O137" s="19"/>
      <c r="P137" s="19"/>
      <c r="Q137" s="19"/>
      <c r="U137" s="20"/>
      <c r="V137" s="28"/>
    </row>
    <row r="138" spans="11:22" x14ac:dyDescent="0.45">
      <c r="K138" s="19"/>
      <c r="L138" s="20"/>
      <c r="M138" s="19"/>
      <c r="N138" s="29"/>
      <c r="O138" s="19"/>
      <c r="P138" s="19"/>
      <c r="Q138" s="19"/>
      <c r="U138" s="20"/>
      <c r="V138" s="28"/>
    </row>
    <row r="139" spans="11:22" x14ac:dyDescent="0.45">
      <c r="K139" s="19"/>
      <c r="L139" s="20"/>
      <c r="M139" s="19"/>
      <c r="N139" s="29"/>
      <c r="O139" s="19"/>
      <c r="P139" s="19"/>
      <c r="Q139" s="19"/>
      <c r="U139" s="20"/>
      <c r="V139" s="28"/>
    </row>
    <row r="140" spans="11:22" x14ac:dyDescent="0.45">
      <c r="K140" s="19"/>
      <c r="L140" s="20"/>
      <c r="M140" s="19"/>
      <c r="N140" s="29"/>
      <c r="O140" s="19"/>
      <c r="P140" s="19"/>
      <c r="Q140" s="19"/>
      <c r="U140" s="20"/>
      <c r="V140" s="28"/>
    </row>
    <row r="141" spans="11:22" x14ac:dyDescent="0.45">
      <c r="K141" s="19"/>
      <c r="L141" s="20"/>
      <c r="M141" s="19"/>
      <c r="N141" s="29"/>
      <c r="O141" s="19"/>
      <c r="P141" s="19"/>
      <c r="Q141" s="19"/>
      <c r="U141" s="20"/>
      <c r="V141" s="28"/>
    </row>
    <row r="142" spans="11:22" x14ac:dyDescent="0.45">
      <c r="K142" s="19"/>
      <c r="L142" s="20"/>
      <c r="M142" s="19"/>
      <c r="N142" s="29"/>
      <c r="O142" s="19"/>
      <c r="P142" s="19"/>
      <c r="Q142" s="19"/>
      <c r="U142" s="20"/>
      <c r="V142" s="28"/>
    </row>
    <row r="143" spans="11:22" x14ac:dyDescent="0.45">
      <c r="K143" s="19"/>
      <c r="L143" s="20"/>
      <c r="M143" s="19"/>
      <c r="N143" s="29"/>
      <c r="O143" s="19"/>
      <c r="P143" s="19"/>
      <c r="Q143" s="19"/>
      <c r="U143" s="20"/>
      <c r="V143" s="28"/>
    </row>
    <row r="144" spans="11:22" x14ac:dyDescent="0.45">
      <c r="K144" s="19"/>
      <c r="L144" s="20"/>
      <c r="M144" s="19"/>
      <c r="N144" s="29"/>
      <c r="O144" s="19"/>
      <c r="P144" s="19"/>
      <c r="Q144" s="19"/>
      <c r="U144" s="20"/>
      <c r="V144" s="28"/>
    </row>
    <row r="145" spans="11:22" x14ac:dyDescent="0.45">
      <c r="K145" s="19"/>
      <c r="L145" s="20"/>
      <c r="M145" s="19"/>
      <c r="N145" s="29"/>
      <c r="O145" s="19"/>
      <c r="P145" s="19"/>
      <c r="Q145" s="19"/>
      <c r="U145" s="20"/>
      <c r="V145" s="28"/>
    </row>
    <row r="146" spans="11:22" x14ac:dyDescent="0.45">
      <c r="K146" s="19"/>
      <c r="L146" s="20"/>
      <c r="M146" s="19"/>
      <c r="N146" s="29"/>
      <c r="O146" s="19"/>
      <c r="P146" s="19"/>
      <c r="Q146" s="19"/>
      <c r="U146" s="20"/>
      <c r="V146" s="28"/>
    </row>
    <row r="147" spans="11:22" x14ac:dyDescent="0.45">
      <c r="K147" s="19"/>
      <c r="L147" s="20"/>
      <c r="M147" s="19"/>
      <c r="N147" s="29"/>
      <c r="O147" s="19"/>
      <c r="P147" s="19"/>
      <c r="Q147" s="19"/>
      <c r="U147" s="20"/>
      <c r="V147" s="28"/>
    </row>
    <row r="148" spans="11:22" x14ac:dyDescent="0.45">
      <c r="K148" s="19"/>
      <c r="L148" s="20"/>
      <c r="M148" s="19"/>
      <c r="N148" s="29"/>
      <c r="O148" s="19"/>
      <c r="P148" s="19"/>
      <c r="Q148" s="19"/>
      <c r="U148" s="20"/>
      <c r="V148" s="28"/>
    </row>
    <row r="149" spans="11:22" x14ac:dyDescent="0.45">
      <c r="K149" s="19"/>
      <c r="L149" s="20"/>
      <c r="M149" s="19"/>
      <c r="N149" s="29"/>
      <c r="O149" s="19"/>
      <c r="P149" s="19"/>
      <c r="Q149" s="19"/>
      <c r="U149" s="20"/>
      <c r="V149" s="28"/>
    </row>
    <row r="150" spans="11:22" x14ac:dyDescent="0.45">
      <c r="K150" s="19"/>
      <c r="L150" s="20"/>
      <c r="M150" s="19"/>
      <c r="N150" s="29"/>
      <c r="O150" s="19"/>
      <c r="P150" s="19"/>
      <c r="Q150" s="19"/>
      <c r="U150" s="20"/>
      <c r="V150" s="28"/>
    </row>
    <row r="151" spans="11:22" x14ac:dyDescent="0.45">
      <c r="K151" s="19"/>
      <c r="L151" s="20"/>
      <c r="M151" s="19"/>
      <c r="N151" s="29"/>
      <c r="O151" s="19"/>
      <c r="P151" s="19"/>
      <c r="Q151" s="19"/>
      <c r="U151" s="20"/>
      <c r="V151" s="28"/>
    </row>
    <row r="152" spans="11:22" x14ac:dyDescent="0.45">
      <c r="K152" s="19"/>
      <c r="L152" s="20"/>
      <c r="M152" s="19"/>
      <c r="N152" s="29"/>
      <c r="O152" s="19"/>
      <c r="P152" s="19"/>
      <c r="Q152" s="19"/>
      <c r="U152" s="20"/>
      <c r="V152" s="28"/>
    </row>
    <row r="153" spans="11:22" x14ac:dyDescent="0.45">
      <c r="K153" s="19"/>
      <c r="L153" s="20"/>
      <c r="M153" s="19"/>
      <c r="N153" s="29"/>
      <c r="O153" s="19"/>
      <c r="P153" s="19"/>
      <c r="Q153" s="19"/>
      <c r="U153" s="20"/>
      <c r="V153" s="28"/>
    </row>
    <row r="154" spans="11:22" x14ac:dyDescent="0.45">
      <c r="K154" s="19"/>
      <c r="L154" s="20"/>
      <c r="M154" s="19"/>
      <c r="N154" s="29"/>
      <c r="O154" s="19"/>
      <c r="P154" s="19"/>
      <c r="Q154" s="19"/>
      <c r="U154" s="20"/>
      <c r="V154" s="28"/>
    </row>
    <row r="155" spans="11:22" x14ac:dyDescent="0.45">
      <c r="K155" s="19"/>
      <c r="L155" s="20"/>
      <c r="M155" s="19"/>
      <c r="N155" s="29"/>
      <c r="O155" s="19"/>
      <c r="P155" s="19"/>
      <c r="Q155" s="19"/>
      <c r="U155" s="20"/>
      <c r="V155" s="28"/>
    </row>
    <row r="156" spans="11:22" x14ac:dyDescent="0.45">
      <c r="K156" s="19"/>
      <c r="L156" s="20"/>
      <c r="M156" s="19"/>
      <c r="N156" s="29"/>
      <c r="O156" s="19"/>
      <c r="P156" s="19"/>
      <c r="Q156" s="19"/>
      <c r="U156" s="20"/>
      <c r="V156" s="28"/>
    </row>
    <row r="157" spans="11:22" x14ac:dyDescent="0.45">
      <c r="K157" s="19"/>
      <c r="L157" s="20"/>
      <c r="M157" s="19"/>
      <c r="N157" s="29"/>
      <c r="O157" s="19"/>
      <c r="P157" s="19"/>
      <c r="Q157" s="19"/>
      <c r="U157" s="20"/>
      <c r="V157" s="28"/>
    </row>
    <row r="158" spans="11:22" x14ac:dyDescent="0.45">
      <c r="K158" s="19"/>
      <c r="L158" s="20"/>
      <c r="M158" s="19"/>
      <c r="N158" s="29"/>
      <c r="O158" s="19"/>
      <c r="P158" s="19"/>
      <c r="Q158" s="19"/>
      <c r="U158" s="20"/>
      <c r="V158" s="28"/>
    </row>
    <row r="159" spans="11:22" x14ac:dyDescent="0.45">
      <c r="K159" s="19"/>
      <c r="L159" s="20"/>
      <c r="M159" s="19"/>
      <c r="N159" s="29"/>
      <c r="O159" s="19"/>
      <c r="P159" s="19"/>
      <c r="Q159" s="19"/>
      <c r="U159" s="20"/>
      <c r="V159" s="28"/>
    </row>
    <row r="160" spans="11:22" x14ac:dyDescent="0.45">
      <c r="K160" s="19"/>
      <c r="L160" s="20"/>
      <c r="M160" s="19"/>
      <c r="N160" s="29"/>
      <c r="O160" s="19"/>
      <c r="P160" s="19"/>
      <c r="Q160" s="19"/>
      <c r="U160" s="20"/>
      <c r="V160" s="28"/>
    </row>
    <row r="161" spans="11:22" x14ac:dyDescent="0.45">
      <c r="K161" s="19"/>
      <c r="L161" s="20"/>
      <c r="M161" s="19"/>
      <c r="N161" s="29"/>
      <c r="O161" s="19"/>
      <c r="P161" s="19"/>
      <c r="Q161" s="19"/>
      <c r="U161" s="20"/>
      <c r="V161" s="28"/>
    </row>
    <row r="162" spans="11:22" x14ac:dyDescent="0.45">
      <c r="K162" s="19"/>
      <c r="L162" s="20"/>
      <c r="M162" s="19"/>
      <c r="N162" s="29"/>
      <c r="O162" s="19"/>
      <c r="P162" s="19"/>
      <c r="Q162" s="19"/>
      <c r="U162" s="20"/>
      <c r="V162" s="28"/>
    </row>
    <row r="163" spans="11:22" x14ac:dyDescent="0.45">
      <c r="K163" s="19"/>
      <c r="L163" s="20"/>
      <c r="M163" s="19"/>
      <c r="N163" s="29"/>
      <c r="O163" s="19"/>
      <c r="P163" s="19"/>
      <c r="Q163" s="19"/>
      <c r="U163" s="20"/>
      <c r="V163" s="28"/>
    </row>
    <row r="164" spans="11:22" x14ac:dyDescent="0.45">
      <c r="K164" s="19"/>
      <c r="L164" s="20"/>
      <c r="M164" s="19"/>
      <c r="N164" s="29"/>
      <c r="O164" s="19"/>
      <c r="P164" s="19"/>
      <c r="Q164" s="19"/>
      <c r="U164" s="20"/>
      <c r="V164" s="28"/>
    </row>
    <row r="165" spans="11:22" x14ac:dyDescent="0.45">
      <c r="K165" s="19"/>
      <c r="L165" s="20"/>
      <c r="M165" s="19"/>
      <c r="N165" s="29"/>
      <c r="O165" s="19"/>
      <c r="P165" s="19"/>
      <c r="Q165" s="19"/>
      <c r="U165" s="20"/>
      <c r="V165" s="28"/>
    </row>
    <row r="166" spans="11:22" x14ac:dyDescent="0.45">
      <c r="K166" s="19"/>
      <c r="L166" s="20"/>
      <c r="M166" s="19"/>
      <c r="N166" s="29"/>
      <c r="O166" s="19"/>
      <c r="P166" s="19"/>
      <c r="Q166" s="19"/>
      <c r="U166" s="20"/>
      <c r="V166" s="28"/>
    </row>
    <row r="167" spans="11:22" x14ac:dyDescent="0.45">
      <c r="K167" s="19"/>
      <c r="L167" s="20"/>
      <c r="M167" s="19"/>
      <c r="N167" s="29"/>
      <c r="O167" s="19"/>
      <c r="P167" s="19"/>
      <c r="Q167" s="19"/>
      <c r="U167" s="20"/>
      <c r="V167" s="28"/>
    </row>
    <row r="168" spans="11:22" x14ac:dyDescent="0.45">
      <c r="K168" s="19"/>
      <c r="L168" s="20"/>
      <c r="M168" s="19"/>
      <c r="N168" s="29"/>
      <c r="O168" s="19"/>
      <c r="P168" s="19"/>
      <c r="Q168" s="19"/>
      <c r="U168" s="20"/>
      <c r="V168" s="28"/>
    </row>
    <row r="169" spans="11:22" x14ac:dyDescent="0.45">
      <c r="K169" s="19"/>
      <c r="L169" s="20"/>
      <c r="M169" s="19"/>
      <c r="N169" s="29"/>
      <c r="O169" s="19"/>
      <c r="P169" s="19"/>
      <c r="Q169" s="19"/>
      <c r="U169" s="20"/>
      <c r="V169" s="28"/>
    </row>
    <row r="170" spans="11:22" x14ac:dyDescent="0.45">
      <c r="K170" s="19"/>
      <c r="L170" s="20"/>
      <c r="M170" s="19"/>
      <c r="N170" s="29"/>
      <c r="O170" s="19"/>
      <c r="P170" s="19"/>
      <c r="Q170" s="19"/>
      <c r="U170" s="20"/>
      <c r="V170" s="28"/>
    </row>
    <row r="171" spans="11:22" x14ac:dyDescent="0.45">
      <c r="K171" s="19"/>
      <c r="L171" s="20"/>
      <c r="M171" s="19"/>
      <c r="N171" s="29"/>
      <c r="O171" s="19"/>
      <c r="P171" s="19"/>
      <c r="Q171" s="19"/>
      <c r="U171" s="20"/>
      <c r="V171" s="28"/>
    </row>
    <row r="172" spans="11:22" x14ac:dyDescent="0.45">
      <c r="K172" s="19"/>
      <c r="L172" s="20"/>
      <c r="M172" s="19"/>
      <c r="N172" s="29"/>
      <c r="O172" s="19"/>
      <c r="P172" s="19"/>
      <c r="Q172" s="19"/>
      <c r="U172" s="20"/>
      <c r="V172" s="28"/>
    </row>
    <row r="173" spans="11:22" x14ac:dyDescent="0.45">
      <c r="K173" s="19"/>
      <c r="L173" s="20"/>
      <c r="M173" s="19"/>
      <c r="N173" s="29"/>
      <c r="O173" s="19"/>
      <c r="P173" s="19"/>
      <c r="Q173" s="19"/>
      <c r="U173" s="20"/>
      <c r="V173" s="28"/>
    </row>
    <row r="174" spans="11:22" x14ac:dyDescent="0.45">
      <c r="K174" s="19"/>
      <c r="L174" s="20"/>
      <c r="M174" s="19"/>
      <c r="N174" s="29"/>
      <c r="O174" s="19"/>
      <c r="P174" s="19"/>
      <c r="Q174" s="19"/>
      <c r="U174" s="20"/>
      <c r="V174" s="28"/>
    </row>
    <row r="175" spans="11:22" x14ac:dyDescent="0.45">
      <c r="K175" s="19"/>
      <c r="L175" s="20"/>
      <c r="M175" s="19"/>
      <c r="N175" s="29"/>
      <c r="O175" s="19"/>
      <c r="P175" s="19"/>
      <c r="Q175" s="19"/>
      <c r="U175" s="20"/>
      <c r="V175" s="28"/>
    </row>
    <row r="176" spans="11:22" x14ac:dyDescent="0.45">
      <c r="K176" s="19"/>
      <c r="L176" s="20"/>
      <c r="M176" s="19"/>
      <c r="N176" s="29"/>
      <c r="O176" s="19"/>
      <c r="P176" s="19"/>
      <c r="Q176" s="19"/>
      <c r="U176" s="20"/>
      <c r="V176" s="28"/>
    </row>
    <row r="177" spans="11:22" x14ac:dyDescent="0.45">
      <c r="K177" s="19"/>
      <c r="L177" s="20"/>
      <c r="M177" s="19"/>
      <c r="N177" s="29"/>
      <c r="O177" s="19"/>
      <c r="P177" s="19"/>
      <c r="Q177" s="19"/>
      <c r="U177" s="20"/>
      <c r="V177" s="28"/>
    </row>
    <row r="178" spans="11:22" x14ac:dyDescent="0.45">
      <c r="K178" s="19"/>
      <c r="L178" s="20"/>
      <c r="M178" s="19"/>
      <c r="N178" s="29"/>
      <c r="O178" s="19"/>
      <c r="P178" s="19"/>
      <c r="Q178" s="19"/>
      <c r="U178" s="20"/>
      <c r="V178" s="28"/>
    </row>
    <row r="179" spans="11:22" x14ac:dyDescent="0.45">
      <c r="K179" s="19"/>
      <c r="L179" s="20"/>
      <c r="M179" s="19"/>
      <c r="N179" s="29"/>
      <c r="O179" s="19"/>
      <c r="P179" s="19"/>
      <c r="Q179" s="19"/>
      <c r="U179" s="20"/>
      <c r="V179" s="28"/>
    </row>
    <row r="180" spans="11:22" x14ac:dyDescent="0.45">
      <c r="K180" s="19"/>
      <c r="L180" s="20"/>
      <c r="M180" s="19"/>
      <c r="N180" s="29"/>
      <c r="O180" s="19"/>
      <c r="P180" s="19"/>
      <c r="Q180" s="19"/>
      <c r="U180" s="20"/>
      <c r="V180" s="28"/>
    </row>
    <row r="181" spans="11:22" x14ac:dyDescent="0.45">
      <c r="K181" s="19"/>
      <c r="L181" s="20"/>
      <c r="M181" s="19"/>
      <c r="N181" s="29"/>
      <c r="O181" s="19"/>
      <c r="P181" s="19"/>
      <c r="Q181" s="19"/>
      <c r="U181" s="20"/>
      <c r="V181" s="28"/>
    </row>
    <row r="182" spans="11:22" x14ac:dyDescent="0.45">
      <c r="K182" s="19"/>
      <c r="L182" s="20"/>
      <c r="M182" s="19"/>
      <c r="N182" s="29"/>
      <c r="O182" s="19"/>
      <c r="P182" s="19"/>
      <c r="Q182" s="19"/>
      <c r="U182" s="20"/>
      <c r="V182" s="28"/>
    </row>
    <row r="183" spans="11:22" x14ac:dyDescent="0.45">
      <c r="K183" s="19"/>
      <c r="L183" s="20"/>
      <c r="M183" s="19"/>
      <c r="N183" s="29"/>
      <c r="O183" s="19"/>
      <c r="P183" s="19"/>
      <c r="Q183" s="19"/>
      <c r="U183" s="20"/>
      <c r="V183" s="28"/>
    </row>
    <row r="184" spans="11:22" x14ac:dyDescent="0.45">
      <c r="K184" s="19"/>
      <c r="L184" s="20"/>
      <c r="M184" s="19"/>
      <c r="N184" s="29"/>
      <c r="O184" s="19"/>
      <c r="P184" s="19"/>
      <c r="Q184" s="19"/>
      <c r="U184" s="20"/>
      <c r="V184" s="28"/>
    </row>
    <row r="185" spans="11:22" x14ac:dyDescent="0.45">
      <c r="K185" s="19"/>
      <c r="L185" s="20"/>
      <c r="M185" s="19"/>
      <c r="N185" s="29"/>
      <c r="O185" s="19"/>
      <c r="P185" s="19"/>
      <c r="Q185" s="19"/>
      <c r="U185" s="20"/>
      <c r="V185" s="28"/>
    </row>
    <row r="186" spans="11:22" x14ac:dyDescent="0.45">
      <c r="K186" s="19"/>
      <c r="L186" s="20"/>
      <c r="M186" s="19"/>
      <c r="N186" s="29"/>
      <c r="O186" s="19"/>
      <c r="P186" s="19"/>
      <c r="Q186" s="19"/>
      <c r="U186" s="20"/>
      <c r="V186" s="28"/>
    </row>
    <row r="187" spans="11:22" x14ac:dyDescent="0.45">
      <c r="K187" s="19"/>
      <c r="L187" s="20"/>
      <c r="M187" s="19"/>
      <c r="N187" s="29"/>
      <c r="O187" s="19"/>
      <c r="P187" s="19"/>
      <c r="Q187" s="19"/>
      <c r="U187" s="20"/>
      <c r="V187" s="28"/>
    </row>
    <row r="188" spans="11:22" x14ac:dyDescent="0.45">
      <c r="K188" s="19"/>
      <c r="L188" s="20"/>
      <c r="M188" s="19"/>
      <c r="N188" s="29"/>
      <c r="O188" s="19"/>
      <c r="P188" s="19"/>
      <c r="Q188" s="19"/>
      <c r="U188" s="20"/>
      <c r="V188" s="28"/>
    </row>
    <row r="189" spans="11:22" x14ac:dyDescent="0.45">
      <c r="K189" s="19"/>
      <c r="L189" s="20"/>
      <c r="M189" s="19"/>
      <c r="N189" s="29"/>
      <c r="O189" s="19"/>
      <c r="P189" s="19"/>
      <c r="Q189" s="19"/>
      <c r="U189" s="20"/>
      <c r="V189" s="28"/>
    </row>
    <row r="190" spans="11:22" x14ac:dyDescent="0.45">
      <c r="K190" s="19"/>
      <c r="L190" s="20"/>
      <c r="M190" s="19"/>
      <c r="N190" s="29"/>
      <c r="O190" s="19"/>
      <c r="P190" s="19"/>
      <c r="Q190" s="19"/>
      <c r="U190" s="20"/>
      <c r="V190" s="28"/>
    </row>
    <row r="191" spans="11:22" x14ac:dyDescent="0.45">
      <c r="K191" s="19"/>
      <c r="L191" s="20"/>
      <c r="M191" s="19"/>
      <c r="N191" s="29"/>
      <c r="O191" s="19"/>
      <c r="P191" s="19"/>
      <c r="Q191" s="19"/>
      <c r="U191" s="20"/>
      <c r="V191" s="28"/>
    </row>
    <row r="192" spans="11:22" x14ac:dyDescent="0.45">
      <c r="K192" s="19"/>
      <c r="L192" s="20"/>
      <c r="M192" s="19"/>
      <c r="N192" s="29"/>
      <c r="O192" s="19"/>
      <c r="P192" s="19"/>
      <c r="Q192" s="19"/>
      <c r="U192" s="20"/>
      <c r="V192" s="28"/>
    </row>
    <row r="193" spans="11:22" x14ac:dyDescent="0.45">
      <c r="K193" s="19"/>
      <c r="L193" s="20"/>
      <c r="M193" s="19"/>
      <c r="N193" s="29"/>
      <c r="O193" s="19"/>
      <c r="P193" s="19"/>
      <c r="Q193" s="19"/>
      <c r="U193" s="20"/>
      <c r="V193" s="28"/>
    </row>
    <row r="194" spans="11:22" x14ac:dyDescent="0.45">
      <c r="K194" s="19"/>
      <c r="L194" s="20"/>
      <c r="M194" s="19"/>
      <c r="N194" s="29"/>
      <c r="O194" s="19"/>
      <c r="P194" s="19"/>
      <c r="Q194" s="19"/>
      <c r="U194" s="20"/>
      <c r="V194" s="28"/>
    </row>
    <row r="195" spans="11:22" x14ac:dyDescent="0.45">
      <c r="K195" s="19"/>
      <c r="L195" s="20"/>
      <c r="M195" s="19"/>
      <c r="N195" s="29"/>
      <c r="O195" s="19"/>
      <c r="P195" s="19"/>
      <c r="Q195" s="19"/>
      <c r="U195" s="20"/>
      <c r="V195" s="28"/>
    </row>
    <row r="196" spans="11:22" x14ac:dyDescent="0.45">
      <c r="K196" s="19"/>
      <c r="L196" s="20"/>
      <c r="M196" s="19"/>
      <c r="N196" s="29"/>
      <c r="O196" s="19"/>
      <c r="P196" s="19"/>
      <c r="Q196" s="19"/>
      <c r="U196" s="20"/>
      <c r="V196" s="28"/>
    </row>
    <row r="197" spans="11:22" x14ac:dyDescent="0.45">
      <c r="K197" s="19"/>
      <c r="L197" s="20"/>
      <c r="M197" s="19"/>
      <c r="N197" s="29"/>
      <c r="O197" s="19"/>
      <c r="P197" s="19"/>
      <c r="Q197" s="19"/>
      <c r="U197" s="20"/>
      <c r="V197" s="28"/>
    </row>
    <row r="198" spans="11:22" x14ac:dyDescent="0.45">
      <c r="K198" s="19"/>
      <c r="L198" s="20"/>
      <c r="M198" s="19"/>
      <c r="N198" s="29"/>
      <c r="O198" s="19"/>
      <c r="P198" s="19"/>
      <c r="Q198" s="19"/>
      <c r="U198" s="20"/>
      <c r="V198" s="28"/>
    </row>
    <row r="199" spans="11:22" x14ac:dyDescent="0.45">
      <c r="K199" s="19"/>
      <c r="L199" s="20"/>
      <c r="M199" s="19"/>
      <c r="N199" s="29"/>
      <c r="O199" s="19"/>
      <c r="P199" s="19"/>
      <c r="Q199" s="19"/>
      <c r="U199" s="20"/>
      <c r="V199" s="28"/>
    </row>
    <row r="200" spans="11:22" x14ac:dyDescent="0.45">
      <c r="K200" s="19"/>
      <c r="L200" s="20"/>
      <c r="M200" s="19"/>
      <c r="N200" s="29"/>
      <c r="O200" s="19"/>
      <c r="P200" s="19"/>
      <c r="Q200" s="19"/>
      <c r="U200" s="20"/>
      <c r="V200" s="28"/>
    </row>
    <row r="201" spans="11:22" x14ac:dyDescent="0.45">
      <c r="K201" s="19"/>
      <c r="L201" s="20"/>
      <c r="M201" s="19"/>
      <c r="N201" s="29"/>
      <c r="O201" s="19"/>
      <c r="P201" s="19"/>
      <c r="Q201" s="19"/>
      <c r="U201" s="20"/>
      <c r="V201" s="28"/>
    </row>
    <row r="202" spans="11:22" x14ac:dyDescent="0.45">
      <c r="K202" s="19"/>
      <c r="L202" s="20"/>
      <c r="M202" s="19"/>
      <c r="N202" s="29"/>
      <c r="O202" s="19"/>
      <c r="P202" s="19"/>
      <c r="Q202" s="19"/>
      <c r="U202" s="20"/>
      <c r="V202" s="28"/>
    </row>
    <row r="203" spans="11:22" x14ac:dyDescent="0.45">
      <c r="K203" s="19"/>
      <c r="L203" s="20"/>
      <c r="M203" s="19"/>
      <c r="N203" s="29"/>
      <c r="O203" s="19"/>
      <c r="P203" s="19"/>
      <c r="Q203" s="19"/>
      <c r="U203" s="20"/>
      <c r="V203" s="28"/>
    </row>
    <row r="204" spans="11:22" x14ac:dyDescent="0.45">
      <c r="K204" s="19"/>
      <c r="L204" s="20"/>
      <c r="M204" s="19"/>
      <c r="N204" s="29"/>
      <c r="O204" s="19"/>
      <c r="P204" s="19"/>
      <c r="Q204" s="19"/>
      <c r="U204" s="20"/>
      <c r="V204" s="28"/>
    </row>
    <row r="205" spans="11:22" x14ac:dyDescent="0.45">
      <c r="K205" s="19"/>
      <c r="L205" s="20"/>
      <c r="M205" s="19"/>
      <c r="N205" s="29"/>
      <c r="O205" s="19"/>
      <c r="P205" s="19"/>
      <c r="Q205" s="19"/>
      <c r="U205" s="20"/>
      <c r="V205" s="28"/>
    </row>
    <row r="206" spans="11:22" x14ac:dyDescent="0.45">
      <c r="K206" s="19"/>
      <c r="L206" s="20"/>
      <c r="M206" s="19"/>
      <c r="N206" s="29"/>
      <c r="O206" s="19"/>
      <c r="P206" s="19"/>
      <c r="Q206" s="19"/>
      <c r="U206" s="20"/>
      <c r="V206" s="28"/>
    </row>
    <row r="207" spans="11:22" x14ac:dyDescent="0.45">
      <c r="K207" s="19"/>
      <c r="L207" s="20"/>
      <c r="M207" s="19"/>
      <c r="N207" s="29"/>
      <c r="O207" s="19"/>
      <c r="P207" s="19"/>
      <c r="Q207" s="19"/>
      <c r="U207" s="20"/>
      <c r="V207" s="28"/>
    </row>
    <row r="208" spans="11:22" x14ac:dyDescent="0.45">
      <c r="K208" s="19"/>
      <c r="L208" s="20"/>
      <c r="M208" s="19"/>
      <c r="N208" s="29"/>
      <c r="O208" s="19"/>
      <c r="P208" s="19"/>
      <c r="Q208" s="19"/>
      <c r="U208" s="20"/>
      <c r="V208" s="28"/>
    </row>
    <row r="209" spans="11:22" x14ac:dyDescent="0.45">
      <c r="K209" s="19"/>
      <c r="L209" s="20"/>
      <c r="M209" s="19"/>
      <c r="N209" s="29"/>
      <c r="O209" s="19"/>
      <c r="P209" s="19"/>
      <c r="Q209" s="19"/>
      <c r="U209" s="20"/>
      <c r="V209" s="28"/>
    </row>
    <row r="210" spans="11:22" x14ac:dyDescent="0.45">
      <c r="K210" s="19"/>
      <c r="L210" s="20"/>
      <c r="M210" s="19"/>
      <c r="N210" s="29"/>
      <c r="O210" s="19"/>
      <c r="P210" s="19"/>
      <c r="Q210" s="19"/>
      <c r="U210" s="20"/>
      <c r="V210" s="28"/>
    </row>
    <row r="211" spans="11:22" x14ac:dyDescent="0.45">
      <c r="K211" s="19"/>
      <c r="L211" s="20"/>
      <c r="M211" s="19"/>
      <c r="N211" s="29"/>
      <c r="O211" s="19"/>
      <c r="P211" s="19"/>
      <c r="Q211" s="19"/>
      <c r="U211" s="20"/>
      <c r="V211" s="28"/>
    </row>
    <row r="212" spans="11:22" x14ac:dyDescent="0.45">
      <c r="K212" s="19"/>
      <c r="L212" s="20"/>
      <c r="M212" s="19"/>
      <c r="N212" s="29"/>
      <c r="O212" s="19"/>
      <c r="P212" s="19"/>
      <c r="Q212" s="19"/>
      <c r="U212" s="20"/>
      <c r="V212" s="28"/>
    </row>
    <row r="213" spans="11:22" x14ac:dyDescent="0.45">
      <c r="K213" s="19"/>
      <c r="L213" s="20"/>
      <c r="M213" s="19"/>
      <c r="N213" s="29"/>
      <c r="O213" s="19"/>
      <c r="P213" s="19"/>
      <c r="Q213" s="19"/>
      <c r="U213" s="20"/>
      <c r="V213" s="28"/>
    </row>
    <row r="214" spans="11:22" x14ac:dyDescent="0.45">
      <c r="K214" s="19"/>
      <c r="L214" s="20"/>
      <c r="M214" s="19"/>
      <c r="N214" s="29"/>
      <c r="O214" s="19"/>
      <c r="P214" s="19"/>
      <c r="Q214" s="19"/>
      <c r="U214" s="20"/>
      <c r="V214" s="28"/>
    </row>
    <row r="215" spans="11:22" x14ac:dyDescent="0.45">
      <c r="K215" s="19"/>
      <c r="L215" s="20"/>
      <c r="M215" s="19"/>
      <c r="N215" s="29"/>
      <c r="O215" s="19"/>
      <c r="P215" s="19"/>
      <c r="Q215" s="19"/>
      <c r="U215" s="20"/>
      <c r="V215" s="28"/>
    </row>
    <row r="216" spans="11:22" x14ac:dyDescent="0.45">
      <c r="K216" s="19"/>
      <c r="L216" s="20"/>
      <c r="M216" s="19"/>
      <c r="N216" s="29"/>
      <c r="O216" s="19"/>
      <c r="P216" s="19"/>
      <c r="Q216" s="19"/>
      <c r="U216" s="20"/>
      <c r="V216" s="28"/>
    </row>
    <row r="217" spans="11:22" x14ac:dyDescent="0.45">
      <c r="K217" s="19"/>
      <c r="L217" s="20"/>
      <c r="M217" s="19"/>
      <c r="N217" s="29"/>
      <c r="O217" s="19"/>
      <c r="P217" s="19"/>
      <c r="Q217" s="19"/>
      <c r="U217" s="20"/>
      <c r="V217" s="28"/>
    </row>
    <row r="218" spans="11:22" x14ac:dyDescent="0.45">
      <c r="K218" s="19"/>
      <c r="L218" s="20"/>
      <c r="M218" s="19"/>
      <c r="N218" s="29"/>
      <c r="O218" s="19"/>
      <c r="P218" s="19"/>
      <c r="Q218" s="19"/>
      <c r="U218" s="20"/>
      <c r="V218" s="28"/>
    </row>
    <row r="219" spans="11:22" x14ac:dyDescent="0.45">
      <c r="K219" s="19"/>
      <c r="L219" s="20"/>
      <c r="M219" s="19"/>
      <c r="N219" s="29"/>
      <c r="O219" s="19"/>
      <c r="P219" s="19"/>
      <c r="Q219" s="19"/>
      <c r="U219" s="20"/>
      <c r="V219" s="28"/>
    </row>
    <row r="220" spans="11:22" x14ac:dyDescent="0.45">
      <c r="K220" s="19"/>
      <c r="L220" s="20"/>
      <c r="M220" s="19"/>
      <c r="N220" s="29"/>
      <c r="O220" s="19"/>
      <c r="P220" s="19"/>
      <c r="Q220" s="19"/>
      <c r="U220" s="20"/>
      <c r="V220" s="28"/>
    </row>
    <row r="221" spans="11:22" x14ac:dyDescent="0.45">
      <c r="K221" s="19"/>
      <c r="L221" s="20"/>
      <c r="M221" s="19"/>
      <c r="N221" s="29"/>
      <c r="O221" s="19"/>
      <c r="P221" s="19"/>
      <c r="Q221" s="19"/>
      <c r="U221" s="20"/>
      <c r="V221" s="28"/>
    </row>
    <row r="222" spans="11:22" x14ac:dyDescent="0.45">
      <c r="K222" s="19"/>
      <c r="L222" s="20"/>
      <c r="M222" s="19"/>
      <c r="N222" s="29"/>
      <c r="O222" s="19"/>
      <c r="P222" s="19"/>
      <c r="Q222" s="19"/>
      <c r="U222" s="20"/>
      <c r="V222" s="28"/>
    </row>
    <row r="223" spans="11:22" x14ac:dyDescent="0.45">
      <c r="K223" s="19"/>
      <c r="L223" s="20"/>
      <c r="M223" s="19"/>
      <c r="N223" s="29"/>
      <c r="O223" s="19"/>
      <c r="P223" s="19"/>
      <c r="Q223" s="19"/>
      <c r="U223" s="20"/>
      <c r="V223" s="28"/>
    </row>
    <row r="224" spans="11:22" x14ac:dyDescent="0.45">
      <c r="K224" s="19"/>
      <c r="L224" s="20"/>
      <c r="M224" s="19"/>
      <c r="N224" s="29"/>
      <c r="O224" s="19"/>
      <c r="P224" s="19"/>
      <c r="Q224" s="19"/>
      <c r="U224" s="20"/>
      <c r="V224" s="28"/>
    </row>
    <row r="225" spans="11:22" x14ac:dyDescent="0.45">
      <c r="K225" s="19"/>
      <c r="L225" s="20"/>
      <c r="M225" s="19"/>
      <c r="N225" s="29"/>
      <c r="O225" s="19"/>
      <c r="P225" s="19"/>
      <c r="Q225" s="19"/>
      <c r="U225" s="20"/>
      <c r="V225" s="28"/>
    </row>
    <row r="226" spans="11:22" x14ac:dyDescent="0.45">
      <c r="K226" s="19"/>
      <c r="L226" s="20"/>
      <c r="M226" s="19"/>
      <c r="N226" s="29"/>
      <c r="O226" s="19"/>
      <c r="P226" s="19"/>
      <c r="Q226" s="19"/>
      <c r="U226" s="20"/>
      <c r="V226" s="28"/>
    </row>
    <row r="227" spans="11:22" x14ac:dyDescent="0.45">
      <c r="K227" s="19"/>
      <c r="L227" s="20"/>
      <c r="M227" s="19"/>
      <c r="N227" s="29"/>
      <c r="O227" s="19"/>
      <c r="P227" s="19"/>
      <c r="Q227" s="19"/>
      <c r="U227" s="20"/>
      <c r="V227" s="28"/>
    </row>
    <row r="228" spans="11:22" x14ac:dyDescent="0.45">
      <c r="K228" s="19"/>
      <c r="L228" s="20"/>
      <c r="M228" s="19"/>
      <c r="N228" s="29"/>
      <c r="O228" s="19"/>
      <c r="P228" s="19"/>
      <c r="Q228" s="19"/>
      <c r="U228" s="20"/>
      <c r="V228" s="28"/>
    </row>
    <row r="229" spans="11:22" x14ac:dyDescent="0.45">
      <c r="K229" s="19"/>
      <c r="L229" s="20"/>
      <c r="M229" s="19"/>
      <c r="N229" s="29"/>
      <c r="O229" s="19"/>
      <c r="P229" s="19"/>
      <c r="Q229" s="19"/>
      <c r="U229" s="20"/>
      <c r="V229" s="28"/>
    </row>
    <row r="230" spans="11:22" x14ac:dyDescent="0.45">
      <c r="K230" s="19"/>
      <c r="L230" s="20"/>
      <c r="M230" s="19"/>
      <c r="N230" s="29"/>
      <c r="O230" s="19"/>
      <c r="P230" s="19"/>
      <c r="Q230" s="19"/>
      <c r="U230" s="20"/>
      <c r="V230" s="28"/>
    </row>
    <row r="231" spans="11:22" x14ac:dyDescent="0.45">
      <c r="K231" s="19"/>
      <c r="L231" s="20"/>
      <c r="M231" s="19"/>
      <c r="N231" s="29"/>
      <c r="O231" s="19"/>
      <c r="P231" s="19"/>
      <c r="Q231" s="19"/>
      <c r="U231" s="20"/>
      <c r="V231" s="28"/>
    </row>
    <row r="232" spans="11:22" x14ac:dyDescent="0.45">
      <c r="K232" s="19"/>
      <c r="L232" s="20"/>
      <c r="M232" s="19"/>
      <c r="N232" s="29"/>
      <c r="O232" s="19"/>
      <c r="P232" s="19"/>
      <c r="Q232" s="19"/>
      <c r="U232" s="20"/>
      <c r="V232" s="28"/>
    </row>
    <row r="233" spans="11:22" x14ac:dyDescent="0.45">
      <c r="K233" s="19"/>
      <c r="L233" s="20"/>
      <c r="M233" s="19"/>
      <c r="N233" s="29"/>
      <c r="O233" s="19"/>
      <c r="P233" s="19"/>
      <c r="Q233" s="19"/>
      <c r="U233" s="20"/>
      <c r="V233" s="28"/>
    </row>
    <row r="234" spans="11:22" x14ac:dyDescent="0.45">
      <c r="K234" s="19"/>
      <c r="L234" s="20"/>
      <c r="M234" s="19"/>
      <c r="N234" s="29"/>
      <c r="O234" s="19"/>
      <c r="P234" s="19"/>
      <c r="Q234" s="19"/>
      <c r="U234" s="20"/>
      <c r="V234" s="28"/>
    </row>
    <row r="235" spans="11:22" x14ac:dyDescent="0.45">
      <c r="K235" s="19"/>
      <c r="L235" s="20"/>
      <c r="M235" s="19"/>
      <c r="N235" s="29"/>
      <c r="O235" s="19"/>
      <c r="P235" s="19"/>
      <c r="Q235" s="19"/>
      <c r="U235" s="20"/>
      <c r="V235" s="28"/>
    </row>
    <row r="236" spans="11:22" x14ac:dyDescent="0.45">
      <c r="K236" s="19"/>
      <c r="L236" s="20"/>
      <c r="M236" s="19"/>
      <c r="N236" s="29"/>
      <c r="O236" s="19"/>
      <c r="P236" s="19"/>
      <c r="Q236" s="19"/>
      <c r="U236" s="20"/>
      <c r="V236" s="28"/>
    </row>
    <row r="237" spans="11:22" x14ac:dyDescent="0.45">
      <c r="K237" s="19"/>
      <c r="L237" s="20"/>
      <c r="M237" s="19"/>
      <c r="N237" s="29"/>
      <c r="O237" s="19"/>
      <c r="P237" s="19"/>
      <c r="Q237" s="19"/>
      <c r="U237" s="20"/>
      <c r="V237" s="28"/>
    </row>
    <row r="238" spans="11:22" x14ac:dyDescent="0.45">
      <c r="K238" s="19"/>
      <c r="L238" s="20"/>
      <c r="M238" s="19"/>
      <c r="N238" s="29"/>
      <c r="O238" s="19"/>
      <c r="P238" s="19"/>
      <c r="Q238" s="19"/>
      <c r="U238" s="20"/>
      <c r="V238" s="28"/>
    </row>
    <row r="239" spans="11:22" x14ac:dyDescent="0.45">
      <c r="K239" s="19"/>
      <c r="L239" s="20"/>
      <c r="M239" s="19"/>
      <c r="N239" s="29"/>
      <c r="O239" s="19"/>
      <c r="P239" s="19"/>
      <c r="Q239" s="19"/>
      <c r="U239" s="20"/>
      <c r="V239" s="28"/>
    </row>
    <row r="240" spans="11:22" x14ac:dyDescent="0.45">
      <c r="K240" s="19"/>
      <c r="L240" s="20"/>
      <c r="M240" s="19"/>
      <c r="N240" s="29"/>
      <c r="O240" s="19"/>
      <c r="P240" s="19"/>
      <c r="Q240" s="19"/>
      <c r="U240" s="20"/>
      <c r="V240" s="28"/>
    </row>
    <row r="241" spans="11:22" x14ac:dyDescent="0.45">
      <c r="K241" s="19"/>
      <c r="L241" s="20"/>
      <c r="M241" s="19"/>
      <c r="N241" s="29"/>
      <c r="O241" s="19"/>
      <c r="P241" s="19"/>
      <c r="Q241" s="19"/>
      <c r="U241" s="20"/>
      <c r="V241" s="28"/>
    </row>
    <row r="242" spans="11:22" x14ac:dyDescent="0.45">
      <c r="K242" s="19"/>
      <c r="L242" s="20"/>
      <c r="M242" s="19"/>
      <c r="N242" s="29"/>
      <c r="O242" s="19"/>
      <c r="P242" s="19"/>
      <c r="Q242" s="19"/>
      <c r="U242" s="20"/>
      <c r="V242" s="28"/>
    </row>
    <row r="243" spans="11:22" x14ac:dyDescent="0.45">
      <c r="K243" s="19"/>
      <c r="L243" s="20"/>
      <c r="M243" s="19"/>
      <c r="N243" s="29"/>
      <c r="O243" s="19"/>
      <c r="P243" s="19"/>
      <c r="Q243" s="19"/>
      <c r="U243" s="20"/>
      <c r="V243" s="28"/>
    </row>
    <row r="244" spans="11:22" x14ac:dyDescent="0.45">
      <c r="K244" s="19"/>
      <c r="L244" s="20"/>
      <c r="M244" s="19"/>
      <c r="N244" s="29"/>
      <c r="O244" s="19"/>
      <c r="P244" s="19"/>
      <c r="Q244" s="19"/>
      <c r="U244" s="20"/>
      <c r="V244" s="28"/>
    </row>
    <row r="245" spans="11:22" x14ac:dyDescent="0.45">
      <c r="K245" s="19"/>
      <c r="L245" s="20"/>
      <c r="M245" s="19"/>
      <c r="N245" s="29"/>
      <c r="O245" s="19"/>
      <c r="P245" s="19"/>
      <c r="Q245" s="19"/>
      <c r="U245" s="20"/>
      <c r="V245" s="28"/>
    </row>
    <row r="246" spans="11:22" x14ac:dyDescent="0.45">
      <c r="K246" s="19"/>
      <c r="L246" s="20"/>
      <c r="M246" s="19"/>
      <c r="N246" s="29"/>
      <c r="O246" s="19"/>
      <c r="P246" s="19"/>
      <c r="Q246" s="19"/>
      <c r="U246" s="20"/>
      <c r="V246" s="28"/>
    </row>
    <row r="247" spans="11:22" x14ac:dyDescent="0.45">
      <c r="K247" s="19"/>
      <c r="L247" s="20"/>
      <c r="M247" s="19"/>
      <c r="N247" s="29"/>
      <c r="O247" s="19"/>
      <c r="P247" s="19"/>
      <c r="Q247" s="19"/>
      <c r="U247" s="20"/>
      <c r="V247" s="28"/>
    </row>
    <row r="248" spans="11:22" x14ac:dyDescent="0.45">
      <c r="K248" s="19"/>
      <c r="L248" s="20"/>
      <c r="M248" s="19"/>
      <c r="N248" s="29"/>
      <c r="O248" s="19"/>
      <c r="P248" s="19"/>
      <c r="Q248" s="19"/>
      <c r="U248" s="20"/>
      <c r="V248" s="28"/>
    </row>
    <row r="249" spans="11:22" x14ac:dyDescent="0.45">
      <c r="K249" s="19"/>
      <c r="L249" s="20"/>
      <c r="M249" s="19"/>
      <c r="N249" s="29"/>
      <c r="O249" s="19"/>
      <c r="P249" s="19"/>
      <c r="Q249" s="19"/>
      <c r="U249" s="20"/>
      <c r="V249" s="28"/>
    </row>
    <row r="250" spans="11:22" x14ac:dyDescent="0.45">
      <c r="K250" s="19"/>
      <c r="L250" s="20"/>
      <c r="M250" s="19"/>
      <c r="N250" s="29"/>
      <c r="O250" s="19"/>
      <c r="P250" s="19"/>
      <c r="Q250" s="19"/>
      <c r="U250" s="20"/>
      <c r="V250" s="28"/>
    </row>
    <row r="251" spans="11:22" x14ac:dyDescent="0.45">
      <c r="K251" s="19"/>
      <c r="L251" s="20"/>
      <c r="M251" s="19"/>
      <c r="N251" s="29"/>
      <c r="O251" s="19"/>
      <c r="P251" s="19"/>
      <c r="Q251" s="19"/>
      <c r="U251" s="20"/>
      <c r="V251" s="28"/>
    </row>
    <row r="252" spans="11:22" x14ac:dyDescent="0.45">
      <c r="K252" s="19"/>
      <c r="L252" s="20"/>
      <c r="M252" s="19"/>
      <c r="N252" s="29"/>
      <c r="O252" s="19"/>
      <c r="P252" s="19"/>
      <c r="Q252" s="19"/>
      <c r="U252" s="20"/>
      <c r="V252" s="28"/>
    </row>
    <row r="253" spans="11:22" x14ac:dyDescent="0.45">
      <c r="K253" s="19"/>
      <c r="L253" s="20"/>
      <c r="M253" s="19"/>
      <c r="N253" s="29"/>
      <c r="O253" s="19"/>
      <c r="P253" s="19"/>
      <c r="Q253" s="19"/>
      <c r="U253" s="20"/>
      <c r="V253" s="28"/>
    </row>
    <row r="254" spans="11:22" x14ac:dyDescent="0.45">
      <c r="K254" s="19"/>
      <c r="L254" s="20"/>
      <c r="M254" s="19"/>
      <c r="N254" s="29"/>
      <c r="O254" s="19"/>
      <c r="P254" s="19"/>
      <c r="Q254" s="19"/>
      <c r="U254" s="20"/>
      <c r="V254" s="28"/>
    </row>
    <row r="255" spans="11:22" x14ac:dyDescent="0.45">
      <c r="K255" s="19"/>
      <c r="L255" s="20"/>
      <c r="M255" s="19"/>
      <c r="N255" s="29"/>
      <c r="O255" s="19"/>
      <c r="P255" s="19"/>
      <c r="Q255" s="19"/>
      <c r="U255" s="20"/>
      <c r="V255" s="28"/>
    </row>
    <row r="256" spans="11:22" x14ac:dyDescent="0.45">
      <c r="K256" s="19"/>
      <c r="L256" s="20"/>
      <c r="M256" s="19"/>
      <c r="N256" s="29"/>
      <c r="O256" s="19"/>
      <c r="P256" s="19"/>
      <c r="Q256" s="19"/>
      <c r="U256" s="20"/>
      <c r="V256" s="28"/>
    </row>
    <row r="257" spans="11:22" x14ac:dyDescent="0.45">
      <c r="K257" s="19"/>
      <c r="L257" s="20"/>
      <c r="M257" s="19"/>
      <c r="N257" s="29"/>
      <c r="O257" s="19"/>
      <c r="P257" s="19"/>
      <c r="Q257" s="19"/>
      <c r="U257" s="20"/>
      <c r="V257" s="28"/>
    </row>
    <row r="258" spans="11:22" x14ac:dyDescent="0.45">
      <c r="K258" s="19"/>
      <c r="L258" s="20"/>
      <c r="M258" s="19"/>
      <c r="N258" s="29"/>
      <c r="O258" s="19"/>
      <c r="P258" s="19"/>
      <c r="Q258" s="19"/>
      <c r="U258" s="20"/>
      <c r="V258" s="28"/>
    </row>
    <row r="259" spans="11:22" x14ac:dyDescent="0.45">
      <c r="K259" s="19"/>
      <c r="L259" s="20"/>
      <c r="M259" s="19"/>
      <c r="N259" s="29"/>
      <c r="O259" s="19"/>
      <c r="P259" s="19"/>
      <c r="Q259" s="19"/>
      <c r="U259" s="20"/>
      <c r="V259" s="28"/>
    </row>
    <row r="260" spans="11:22" x14ac:dyDescent="0.45">
      <c r="K260" s="19"/>
      <c r="L260" s="20"/>
      <c r="M260" s="19"/>
      <c r="N260" s="29"/>
      <c r="O260" s="19"/>
      <c r="P260" s="19"/>
      <c r="Q260" s="19"/>
      <c r="U260" s="20"/>
      <c r="V260" s="28"/>
    </row>
    <row r="261" spans="11:22" x14ac:dyDescent="0.45">
      <c r="K261" s="19"/>
      <c r="L261" s="20"/>
      <c r="M261" s="19"/>
      <c r="N261" s="29"/>
      <c r="O261" s="19"/>
      <c r="P261" s="19"/>
      <c r="Q261" s="19"/>
      <c r="U261" s="20"/>
      <c r="V261" s="28"/>
    </row>
    <row r="262" spans="11:22" x14ac:dyDescent="0.45">
      <c r="K262" s="19"/>
      <c r="L262" s="20"/>
      <c r="M262" s="19"/>
      <c r="N262" s="29"/>
      <c r="O262" s="19"/>
      <c r="P262" s="19"/>
      <c r="Q262" s="19"/>
      <c r="U262" s="20"/>
      <c r="V262" s="28"/>
    </row>
    <row r="263" spans="11:22" x14ac:dyDescent="0.45">
      <c r="K263" s="19"/>
      <c r="L263" s="20"/>
      <c r="M263" s="19"/>
      <c r="N263" s="29"/>
      <c r="O263" s="19"/>
      <c r="P263" s="19"/>
      <c r="Q263" s="19"/>
      <c r="U263" s="20"/>
      <c r="V263" s="28"/>
    </row>
    <row r="264" spans="11:22" x14ac:dyDescent="0.45">
      <c r="K264" s="19"/>
      <c r="L264" s="20"/>
      <c r="M264" s="19"/>
      <c r="N264" s="29"/>
      <c r="O264" s="19"/>
      <c r="P264" s="19"/>
      <c r="Q264" s="19"/>
      <c r="U264" s="20"/>
      <c r="V264" s="28"/>
    </row>
    <row r="265" spans="11:22" x14ac:dyDescent="0.45">
      <c r="K265" s="19"/>
      <c r="L265" s="20"/>
      <c r="M265" s="19"/>
      <c r="N265" s="29"/>
      <c r="O265" s="19"/>
      <c r="P265" s="19"/>
      <c r="Q265" s="19"/>
      <c r="U265" s="20"/>
      <c r="V265" s="28"/>
    </row>
    <row r="266" spans="11:22" x14ac:dyDescent="0.45">
      <c r="K266" s="19"/>
      <c r="L266" s="20"/>
      <c r="M266" s="19"/>
      <c r="N266" s="29"/>
      <c r="O266" s="19"/>
      <c r="P266" s="19"/>
      <c r="Q266" s="19"/>
      <c r="U266" s="20"/>
      <c r="V266" s="28"/>
    </row>
    <row r="267" spans="11:22" x14ac:dyDescent="0.45">
      <c r="K267" s="19"/>
      <c r="L267" s="20"/>
      <c r="M267" s="19"/>
      <c r="N267" s="29"/>
      <c r="O267" s="19"/>
      <c r="P267" s="19"/>
      <c r="Q267" s="19"/>
      <c r="U267" s="20"/>
      <c r="V267" s="28"/>
    </row>
    <row r="268" spans="11:22" x14ac:dyDescent="0.45">
      <c r="K268" s="19"/>
      <c r="L268" s="20"/>
      <c r="M268" s="19"/>
      <c r="N268" s="29"/>
      <c r="O268" s="19"/>
      <c r="P268" s="19"/>
      <c r="Q268" s="19"/>
      <c r="U268" s="20"/>
      <c r="V268" s="28"/>
    </row>
    <row r="269" spans="11:22" x14ac:dyDescent="0.45">
      <c r="K269" s="19"/>
      <c r="L269" s="20"/>
      <c r="M269" s="19"/>
      <c r="N269" s="29"/>
      <c r="O269" s="19"/>
      <c r="P269" s="19"/>
      <c r="Q269" s="19"/>
      <c r="U269" s="20"/>
      <c r="V269" s="28"/>
    </row>
    <row r="270" spans="11:22" x14ac:dyDescent="0.45">
      <c r="K270" s="19"/>
      <c r="L270" s="20"/>
      <c r="M270" s="19"/>
      <c r="N270" s="29"/>
      <c r="O270" s="19"/>
      <c r="P270" s="19"/>
      <c r="Q270" s="19"/>
      <c r="U270" s="20"/>
      <c r="V270" s="28"/>
    </row>
    <row r="271" spans="11:22" x14ac:dyDescent="0.45">
      <c r="K271" s="19"/>
      <c r="L271" s="20"/>
      <c r="M271" s="19"/>
      <c r="N271" s="29"/>
      <c r="O271" s="19"/>
      <c r="P271" s="19"/>
      <c r="Q271" s="19"/>
      <c r="U271" s="20"/>
      <c r="V271" s="28"/>
    </row>
    <row r="272" spans="11:22" x14ac:dyDescent="0.45">
      <c r="K272" s="19"/>
      <c r="L272" s="20"/>
      <c r="M272" s="19"/>
      <c r="N272" s="29"/>
      <c r="O272" s="19"/>
      <c r="P272" s="19"/>
      <c r="Q272" s="19"/>
      <c r="U272" s="20"/>
      <c r="V272" s="28"/>
    </row>
    <row r="273" spans="11:22" x14ac:dyDescent="0.45">
      <c r="K273" s="19"/>
      <c r="L273" s="20"/>
      <c r="M273" s="19"/>
      <c r="N273" s="29"/>
      <c r="O273" s="19"/>
      <c r="P273" s="19"/>
      <c r="Q273" s="19"/>
      <c r="U273" s="20"/>
      <c r="V273" s="28"/>
    </row>
    <row r="274" spans="11:22" x14ac:dyDescent="0.45">
      <c r="K274" s="19"/>
      <c r="L274" s="20"/>
      <c r="M274" s="19"/>
      <c r="N274" s="29"/>
      <c r="O274" s="19"/>
      <c r="P274" s="19"/>
      <c r="Q274" s="19"/>
      <c r="U274" s="20"/>
      <c r="V274" s="28"/>
    </row>
    <row r="275" spans="11:22" x14ac:dyDescent="0.45">
      <c r="K275" s="19"/>
      <c r="L275" s="20"/>
      <c r="M275" s="19"/>
      <c r="N275" s="29"/>
      <c r="O275" s="19"/>
      <c r="P275" s="19"/>
      <c r="Q275" s="19"/>
      <c r="U275" s="20"/>
      <c r="V275" s="28"/>
    </row>
    <row r="276" spans="11:22" x14ac:dyDescent="0.45">
      <c r="K276" s="19"/>
      <c r="L276" s="20"/>
      <c r="M276" s="19"/>
      <c r="N276" s="29"/>
      <c r="O276" s="19"/>
      <c r="P276" s="19"/>
      <c r="Q276" s="19"/>
      <c r="U276" s="20"/>
      <c r="V276" s="28"/>
    </row>
    <row r="277" spans="11:22" x14ac:dyDescent="0.45">
      <c r="K277" s="19"/>
      <c r="L277" s="20"/>
      <c r="M277" s="19"/>
      <c r="N277" s="29"/>
      <c r="O277" s="19"/>
      <c r="P277" s="19"/>
      <c r="Q277" s="19"/>
      <c r="U277" s="20"/>
      <c r="V277" s="28"/>
    </row>
    <row r="278" spans="11:22" x14ac:dyDescent="0.45">
      <c r="K278" s="19"/>
      <c r="L278" s="20"/>
      <c r="M278" s="19"/>
      <c r="N278" s="29"/>
      <c r="O278" s="19"/>
      <c r="P278" s="19"/>
      <c r="Q278" s="19"/>
      <c r="U278" s="20"/>
      <c r="V278" s="28"/>
    </row>
    <row r="279" spans="11:22" x14ac:dyDescent="0.45">
      <c r="K279" s="19"/>
      <c r="L279" s="20"/>
      <c r="M279" s="19"/>
      <c r="N279" s="29"/>
      <c r="O279" s="19"/>
      <c r="P279" s="19"/>
      <c r="Q279" s="19"/>
      <c r="U279" s="20"/>
      <c r="V279" s="28"/>
    </row>
    <row r="280" spans="11:22" x14ac:dyDescent="0.45">
      <c r="K280" s="19"/>
      <c r="L280" s="20"/>
      <c r="M280" s="19"/>
      <c r="N280" s="29"/>
      <c r="O280" s="19"/>
      <c r="P280" s="19"/>
      <c r="Q280" s="19"/>
      <c r="U280" s="20"/>
      <c r="V280" s="28"/>
    </row>
    <row r="281" spans="11:22" x14ac:dyDescent="0.45">
      <c r="K281" s="19"/>
      <c r="L281" s="20"/>
      <c r="M281" s="19"/>
      <c r="N281" s="29"/>
      <c r="O281" s="19"/>
      <c r="P281" s="19"/>
      <c r="Q281" s="19"/>
      <c r="U281" s="20"/>
      <c r="V281" s="28"/>
    </row>
    <row r="282" spans="11:22" x14ac:dyDescent="0.45">
      <c r="K282" s="19"/>
      <c r="L282" s="20"/>
      <c r="M282" s="19"/>
      <c r="N282" s="29"/>
      <c r="O282" s="19"/>
      <c r="P282" s="19"/>
      <c r="Q282" s="19"/>
      <c r="U282" s="20"/>
      <c r="V282" s="28"/>
    </row>
    <row r="283" spans="11:22" x14ac:dyDescent="0.45">
      <c r="K283" s="19"/>
      <c r="L283" s="20"/>
      <c r="M283" s="19"/>
      <c r="N283" s="29"/>
      <c r="O283" s="19"/>
      <c r="P283" s="19"/>
      <c r="Q283" s="19"/>
      <c r="U283" s="20"/>
      <c r="V283" s="28"/>
    </row>
    <row r="284" spans="11:22" x14ac:dyDescent="0.45">
      <c r="K284" s="19"/>
      <c r="L284" s="20"/>
      <c r="M284" s="19"/>
      <c r="N284" s="29"/>
      <c r="O284" s="19"/>
      <c r="P284" s="19"/>
      <c r="Q284" s="19"/>
      <c r="U284" s="20"/>
      <c r="V284" s="28"/>
    </row>
    <row r="285" spans="11:22" x14ac:dyDescent="0.45">
      <c r="K285" s="19"/>
      <c r="L285" s="20"/>
      <c r="M285" s="19"/>
      <c r="N285" s="29"/>
      <c r="O285" s="19"/>
      <c r="P285" s="19"/>
      <c r="Q285" s="19"/>
      <c r="U285" s="20"/>
      <c r="V285" s="28"/>
    </row>
    <row r="286" spans="11:22" x14ac:dyDescent="0.45">
      <c r="K286" s="19"/>
      <c r="L286" s="20"/>
      <c r="M286" s="19"/>
      <c r="N286" s="29"/>
      <c r="O286" s="19"/>
      <c r="P286" s="19"/>
      <c r="Q286" s="19"/>
      <c r="U286" s="20"/>
      <c r="V286" s="28"/>
    </row>
    <row r="287" spans="11:22" x14ac:dyDescent="0.45">
      <c r="K287" s="19"/>
      <c r="L287" s="20"/>
      <c r="M287" s="19"/>
      <c r="N287" s="29"/>
      <c r="O287" s="19"/>
      <c r="P287" s="19"/>
      <c r="Q287" s="19"/>
      <c r="U287" s="20"/>
      <c r="V287" s="28"/>
    </row>
    <row r="288" spans="11:22" x14ac:dyDescent="0.45">
      <c r="K288" s="19"/>
      <c r="L288" s="20"/>
      <c r="M288" s="19"/>
      <c r="N288" s="29"/>
      <c r="O288" s="19"/>
      <c r="P288" s="19"/>
      <c r="Q288" s="19"/>
      <c r="U288" s="20"/>
      <c r="V288" s="28"/>
    </row>
    <row r="289" spans="11:22" x14ac:dyDescent="0.45">
      <c r="K289" s="19"/>
      <c r="L289" s="20"/>
      <c r="M289" s="19"/>
      <c r="N289" s="29"/>
      <c r="O289" s="19"/>
      <c r="P289" s="19"/>
      <c r="Q289" s="19"/>
      <c r="U289" s="20"/>
      <c r="V289" s="28"/>
    </row>
    <row r="290" spans="11:22" x14ac:dyDescent="0.45">
      <c r="K290" s="19"/>
      <c r="L290" s="20"/>
      <c r="M290" s="19"/>
      <c r="N290" s="29"/>
      <c r="O290" s="19"/>
      <c r="P290" s="19"/>
      <c r="Q290" s="19"/>
      <c r="U290" s="20"/>
      <c r="V290" s="28"/>
    </row>
    <row r="291" spans="11:22" x14ac:dyDescent="0.45">
      <c r="K291" s="19"/>
      <c r="L291" s="20"/>
      <c r="M291" s="19"/>
      <c r="N291" s="29"/>
      <c r="O291" s="19"/>
      <c r="P291" s="19"/>
      <c r="Q291" s="19"/>
      <c r="U291" s="20"/>
      <c r="V291" s="28"/>
    </row>
    <row r="292" spans="11:22" x14ac:dyDescent="0.45">
      <c r="K292" s="19"/>
      <c r="L292" s="20"/>
      <c r="M292" s="19"/>
      <c r="N292" s="29"/>
      <c r="O292" s="19"/>
      <c r="P292" s="19"/>
      <c r="Q292" s="19"/>
      <c r="U292" s="20"/>
      <c r="V292" s="28"/>
    </row>
    <row r="293" spans="11:22" x14ac:dyDescent="0.45">
      <c r="K293" s="19"/>
      <c r="L293" s="20"/>
      <c r="M293" s="19"/>
      <c r="N293" s="29"/>
      <c r="O293" s="19"/>
      <c r="P293" s="19"/>
      <c r="Q293" s="19"/>
      <c r="U293" s="20"/>
      <c r="V293" s="28"/>
    </row>
    <row r="294" spans="11:22" x14ac:dyDescent="0.45">
      <c r="K294" s="19"/>
      <c r="L294" s="20"/>
      <c r="M294" s="19"/>
      <c r="N294" s="29"/>
      <c r="O294" s="19"/>
      <c r="P294" s="19"/>
      <c r="Q294" s="19"/>
      <c r="U294" s="20"/>
      <c r="V294" s="28"/>
    </row>
    <row r="295" spans="11:22" x14ac:dyDescent="0.45">
      <c r="K295" s="19"/>
      <c r="L295" s="20"/>
      <c r="M295" s="19"/>
      <c r="N295" s="29"/>
      <c r="O295" s="19"/>
      <c r="P295" s="19"/>
      <c r="Q295" s="19"/>
      <c r="U295" s="20"/>
      <c r="V295" s="28"/>
    </row>
    <row r="296" spans="11:22" x14ac:dyDescent="0.45">
      <c r="K296" s="19"/>
      <c r="L296" s="20"/>
      <c r="M296" s="19"/>
      <c r="N296" s="29"/>
      <c r="O296" s="19"/>
      <c r="P296" s="19"/>
      <c r="Q296" s="19"/>
      <c r="U296" s="20"/>
      <c r="V296" s="28"/>
    </row>
    <row r="297" spans="11:22" x14ac:dyDescent="0.45">
      <c r="K297" s="19"/>
      <c r="L297" s="20"/>
      <c r="M297" s="19"/>
      <c r="N297" s="29"/>
      <c r="O297" s="19"/>
      <c r="P297" s="19"/>
      <c r="Q297" s="19"/>
      <c r="U297" s="20"/>
      <c r="V297" s="28"/>
    </row>
    <row r="298" spans="11:22" x14ac:dyDescent="0.45">
      <c r="K298" s="19"/>
      <c r="L298" s="20"/>
      <c r="M298" s="19"/>
      <c r="N298" s="29"/>
      <c r="O298" s="19"/>
      <c r="P298" s="19"/>
      <c r="Q298" s="19"/>
      <c r="U298" s="20"/>
      <c r="V298" s="28"/>
    </row>
    <row r="299" spans="11:22" x14ac:dyDescent="0.45">
      <c r="K299" s="19"/>
      <c r="L299" s="20"/>
      <c r="M299" s="19"/>
      <c r="N299" s="29"/>
      <c r="O299" s="19"/>
      <c r="P299" s="19"/>
      <c r="Q299" s="19"/>
      <c r="U299" s="20"/>
      <c r="V299" s="28"/>
    </row>
    <row r="300" spans="11:22" x14ac:dyDescent="0.45">
      <c r="K300" s="19"/>
      <c r="L300" s="20"/>
      <c r="M300" s="19"/>
      <c r="N300" s="29"/>
      <c r="O300" s="19"/>
      <c r="P300" s="19"/>
      <c r="Q300" s="19"/>
      <c r="U300" s="20"/>
      <c r="V300" s="28"/>
    </row>
    <row r="301" spans="11:22" x14ac:dyDescent="0.45">
      <c r="K301" s="19"/>
      <c r="L301" s="20"/>
      <c r="M301" s="19"/>
      <c r="N301" s="29"/>
      <c r="O301" s="19"/>
      <c r="P301" s="19"/>
      <c r="Q301" s="19"/>
      <c r="U301" s="20"/>
      <c r="V301" s="28"/>
    </row>
    <row r="302" spans="11:22" x14ac:dyDescent="0.45">
      <c r="K302" s="19"/>
      <c r="L302" s="20"/>
      <c r="M302" s="19"/>
      <c r="N302" s="29"/>
      <c r="O302" s="19"/>
      <c r="P302" s="19"/>
      <c r="Q302" s="19"/>
      <c r="U302" s="20"/>
      <c r="V302" s="28"/>
    </row>
    <row r="303" spans="11:22" x14ac:dyDescent="0.45">
      <c r="K303" s="19"/>
      <c r="L303" s="20"/>
      <c r="M303" s="19"/>
      <c r="N303" s="29"/>
      <c r="O303" s="19"/>
      <c r="P303" s="19"/>
      <c r="Q303" s="19"/>
      <c r="U303" s="20"/>
      <c r="V303" s="28"/>
    </row>
    <row r="304" spans="11:22" x14ac:dyDescent="0.45">
      <c r="K304" s="19"/>
      <c r="L304" s="20"/>
      <c r="M304" s="19"/>
      <c r="N304" s="29"/>
      <c r="O304" s="19"/>
      <c r="P304" s="19"/>
      <c r="Q304" s="19"/>
      <c r="U304" s="20"/>
      <c r="V304" s="28"/>
    </row>
    <row r="305" spans="11:22" x14ac:dyDescent="0.45">
      <c r="K305" s="19"/>
      <c r="L305" s="20"/>
      <c r="M305" s="19"/>
      <c r="N305" s="29"/>
      <c r="O305" s="19"/>
      <c r="P305" s="19"/>
      <c r="Q305" s="19"/>
      <c r="U305" s="20"/>
      <c r="V305" s="28"/>
    </row>
    <row r="306" spans="11:22" x14ac:dyDescent="0.45">
      <c r="K306" s="19"/>
      <c r="L306" s="20"/>
      <c r="M306" s="19"/>
      <c r="N306" s="29"/>
      <c r="O306" s="19"/>
      <c r="P306" s="19"/>
      <c r="Q306" s="19"/>
      <c r="U306" s="20"/>
      <c r="V306" s="28"/>
    </row>
    <row r="307" spans="11:22" x14ac:dyDescent="0.45">
      <c r="K307" s="19"/>
      <c r="L307" s="20"/>
      <c r="M307" s="19"/>
      <c r="N307" s="29"/>
      <c r="O307" s="19"/>
      <c r="P307" s="19"/>
      <c r="Q307" s="19"/>
      <c r="U307" s="20"/>
      <c r="V307" s="28"/>
    </row>
    <row r="308" spans="11:22" x14ac:dyDescent="0.45">
      <c r="K308" s="19"/>
      <c r="L308" s="20"/>
      <c r="M308" s="19"/>
      <c r="N308" s="29"/>
      <c r="O308" s="19"/>
      <c r="P308" s="19"/>
      <c r="Q308" s="19"/>
      <c r="U308" s="20"/>
      <c r="V308" s="28"/>
    </row>
    <row r="309" spans="11:22" x14ac:dyDescent="0.45">
      <c r="K309" s="19"/>
      <c r="L309" s="20"/>
      <c r="M309" s="19"/>
      <c r="N309" s="29"/>
      <c r="O309" s="19"/>
      <c r="P309" s="19"/>
      <c r="Q309" s="19"/>
      <c r="U309" s="20"/>
      <c r="V309" s="28"/>
    </row>
    <row r="310" spans="11:22" x14ac:dyDescent="0.45">
      <c r="K310" s="19"/>
      <c r="L310" s="20"/>
      <c r="M310" s="19"/>
      <c r="N310" s="29"/>
      <c r="O310" s="19"/>
      <c r="P310" s="19"/>
      <c r="Q310" s="19"/>
      <c r="U310" s="20"/>
      <c r="V310" s="28"/>
    </row>
    <row r="311" spans="11:22" x14ac:dyDescent="0.45">
      <c r="K311" s="19"/>
      <c r="L311" s="20"/>
      <c r="M311" s="19"/>
      <c r="N311" s="29"/>
      <c r="O311" s="19"/>
      <c r="P311" s="19"/>
      <c r="Q311" s="19"/>
      <c r="U311" s="20"/>
      <c r="V311" s="28"/>
    </row>
    <row r="312" spans="11:22" x14ac:dyDescent="0.45">
      <c r="K312" s="19"/>
      <c r="L312" s="20"/>
      <c r="M312" s="19"/>
      <c r="N312" s="29"/>
      <c r="O312" s="19"/>
      <c r="P312" s="19"/>
      <c r="Q312" s="19"/>
      <c r="U312" s="20"/>
      <c r="V312" s="28"/>
    </row>
    <row r="313" spans="11:22" x14ac:dyDescent="0.45">
      <c r="K313" s="19"/>
      <c r="L313" s="20"/>
      <c r="M313" s="19"/>
      <c r="N313" s="29"/>
      <c r="O313" s="19"/>
      <c r="P313" s="19"/>
      <c r="Q313" s="19"/>
      <c r="U313" s="20"/>
      <c r="V313" s="28"/>
    </row>
    <row r="314" spans="11:22" x14ac:dyDescent="0.45">
      <c r="K314" s="19"/>
      <c r="L314" s="20"/>
      <c r="M314" s="19"/>
      <c r="N314" s="29"/>
      <c r="O314" s="19"/>
      <c r="P314" s="19"/>
      <c r="Q314" s="19"/>
      <c r="U314" s="20"/>
      <c r="V314" s="28"/>
    </row>
    <row r="315" spans="11:22" x14ac:dyDescent="0.45">
      <c r="K315" s="19"/>
      <c r="L315" s="20"/>
      <c r="M315" s="19"/>
      <c r="N315" s="29"/>
      <c r="O315" s="19"/>
      <c r="P315" s="19"/>
      <c r="Q315" s="19"/>
      <c r="U315" s="20"/>
      <c r="V315" s="28"/>
    </row>
    <row r="316" spans="11:22" x14ac:dyDescent="0.45">
      <c r="K316" s="19"/>
      <c r="L316" s="20"/>
      <c r="M316" s="19"/>
      <c r="N316" s="29"/>
      <c r="O316" s="19"/>
      <c r="P316" s="19"/>
      <c r="Q316" s="19"/>
      <c r="U316" s="20"/>
      <c r="V316" s="28"/>
    </row>
    <row r="317" spans="11:22" x14ac:dyDescent="0.45">
      <c r="K317" s="19"/>
      <c r="L317" s="20"/>
      <c r="M317" s="19"/>
      <c r="N317" s="29"/>
      <c r="O317" s="19"/>
      <c r="P317" s="19"/>
      <c r="Q317" s="19"/>
      <c r="U317" s="20"/>
      <c r="V317" s="28"/>
    </row>
    <row r="318" spans="11:22" x14ac:dyDescent="0.45">
      <c r="K318" s="19"/>
      <c r="L318" s="20"/>
      <c r="M318" s="19"/>
      <c r="N318" s="29"/>
      <c r="O318" s="19"/>
      <c r="P318" s="19"/>
      <c r="Q318" s="19"/>
      <c r="U318" s="20"/>
      <c r="V318" s="28"/>
    </row>
    <row r="319" spans="11:22" x14ac:dyDescent="0.45">
      <c r="K319" s="19"/>
      <c r="L319" s="20"/>
      <c r="M319" s="19"/>
      <c r="N319" s="29"/>
      <c r="O319" s="19"/>
      <c r="P319" s="19"/>
      <c r="Q319" s="19"/>
      <c r="U319" s="20"/>
      <c r="V319" s="28"/>
    </row>
    <row r="320" spans="11:22" x14ac:dyDescent="0.45">
      <c r="K320" s="19"/>
      <c r="L320" s="20"/>
      <c r="M320" s="19"/>
      <c r="N320" s="29"/>
      <c r="O320" s="19"/>
      <c r="P320" s="19"/>
      <c r="Q320" s="19"/>
      <c r="U320" s="20"/>
      <c r="V320" s="28"/>
    </row>
    <row r="321" spans="11:22" x14ac:dyDescent="0.45">
      <c r="K321" s="19"/>
      <c r="L321" s="20"/>
      <c r="M321" s="19"/>
      <c r="N321" s="29"/>
      <c r="O321" s="19"/>
      <c r="P321" s="19"/>
      <c r="Q321" s="19"/>
      <c r="U321" s="20"/>
      <c r="V321" s="28"/>
    </row>
    <row r="322" spans="11:22" x14ac:dyDescent="0.45">
      <c r="K322" s="19"/>
      <c r="L322" s="20"/>
      <c r="M322" s="19"/>
      <c r="N322" s="29"/>
      <c r="O322" s="19"/>
      <c r="P322" s="19"/>
      <c r="Q322" s="19"/>
      <c r="U322" s="20"/>
      <c r="V322" s="28"/>
    </row>
    <row r="323" spans="11:22" x14ac:dyDescent="0.45">
      <c r="K323" s="19"/>
      <c r="L323" s="20"/>
      <c r="M323" s="19"/>
      <c r="N323" s="29"/>
      <c r="O323" s="19"/>
      <c r="P323" s="19"/>
      <c r="Q323" s="19"/>
      <c r="U323" s="20"/>
      <c r="V323" s="28"/>
    </row>
    <row r="324" spans="11:22" x14ac:dyDescent="0.45">
      <c r="K324" s="19"/>
      <c r="L324" s="20"/>
      <c r="M324" s="19"/>
      <c r="N324" s="29"/>
      <c r="O324" s="19"/>
      <c r="P324" s="19"/>
      <c r="Q324" s="19"/>
      <c r="U324" s="20"/>
      <c r="V324" s="28"/>
    </row>
    <row r="325" spans="11:22" x14ac:dyDescent="0.45">
      <c r="K325" s="19"/>
      <c r="L325" s="20"/>
      <c r="M325" s="19"/>
      <c r="N325" s="29"/>
      <c r="O325" s="19"/>
      <c r="P325" s="19"/>
      <c r="Q325" s="19"/>
      <c r="U325" s="20"/>
      <c r="V325" s="28"/>
    </row>
    <row r="326" spans="11:22" x14ac:dyDescent="0.45">
      <c r="K326" s="19"/>
      <c r="L326" s="20"/>
      <c r="M326" s="19"/>
      <c r="N326" s="29"/>
      <c r="O326" s="19"/>
      <c r="P326" s="19"/>
      <c r="Q326" s="19"/>
      <c r="U326" s="20"/>
      <c r="V326" s="28"/>
    </row>
    <row r="327" spans="11:22" x14ac:dyDescent="0.45">
      <c r="K327" s="19"/>
      <c r="L327" s="20"/>
      <c r="M327" s="19"/>
      <c r="N327" s="29"/>
      <c r="O327" s="19"/>
      <c r="P327" s="19"/>
      <c r="Q327" s="19"/>
      <c r="U327" s="20"/>
      <c r="V327" s="28"/>
    </row>
    <row r="328" spans="11:22" x14ac:dyDescent="0.45">
      <c r="K328" s="19"/>
      <c r="L328" s="20"/>
      <c r="M328" s="19"/>
      <c r="N328" s="29"/>
      <c r="O328" s="19"/>
      <c r="P328" s="19"/>
      <c r="Q328" s="19"/>
      <c r="U328" s="20"/>
      <c r="V328" s="28"/>
    </row>
    <row r="329" spans="11:22" x14ac:dyDescent="0.45">
      <c r="K329" s="19"/>
      <c r="L329" s="20"/>
      <c r="M329" s="19"/>
      <c r="N329" s="29"/>
      <c r="O329" s="19"/>
      <c r="P329" s="19"/>
      <c r="Q329" s="19"/>
      <c r="U329" s="20"/>
      <c r="V329" s="28"/>
    </row>
    <row r="330" spans="11:22" x14ac:dyDescent="0.45">
      <c r="K330" s="19"/>
      <c r="L330" s="20"/>
      <c r="M330" s="19"/>
      <c r="N330" s="29"/>
      <c r="O330" s="19"/>
      <c r="P330" s="19"/>
      <c r="Q330" s="19"/>
      <c r="U330" s="20"/>
      <c r="V330" s="28"/>
    </row>
    <row r="331" spans="11:22" x14ac:dyDescent="0.45">
      <c r="K331" s="19"/>
      <c r="L331" s="20"/>
      <c r="M331" s="19"/>
      <c r="N331" s="29"/>
      <c r="O331" s="19"/>
      <c r="P331" s="19"/>
      <c r="Q331" s="19"/>
      <c r="U331" s="20"/>
      <c r="V331" s="28"/>
    </row>
    <row r="332" spans="11:22" x14ac:dyDescent="0.45">
      <c r="K332" s="19"/>
      <c r="L332" s="20"/>
      <c r="M332" s="19"/>
      <c r="N332" s="29"/>
      <c r="O332" s="19"/>
      <c r="P332" s="19"/>
      <c r="Q332" s="19"/>
      <c r="U332" s="20"/>
      <c r="V332" s="28"/>
    </row>
    <row r="333" spans="11:22" x14ac:dyDescent="0.45">
      <c r="K333" s="19"/>
      <c r="L333" s="20"/>
      <c r="M333" s="19"/>
      <c r="N333" s="29"/>
      <c r="O333" s="19"/>
      <c r="P333" s="19"/>
      <c r="Q333" s="19"/>
      <c r="U333" s="20"/>
      <c r="V333" s="28"/>
    </row>
    <row r="334" spans="11:22" x14ac:dyDescent="0.45">
      <c r="K334" s="19"/>
      <c r="L334" s="20"/>
      <c r="M334" s="19"/>
      <c r="N334" s="29"/>
      <c r="O334" s="19"/>
      <c r="P334" s="19"/>
      <c r="Q334" s="19"/>
      <c r="U334" s="20"/>
      <c r="V334" s="28"/>
    </row>
    <row r="335" spans="11:22" x14ac:dyDescent="0.45">
      <c r="K335" s="19"/>
      <c r="L335" s="20"/>
      <c r="M335" s="19"/>
      <c r="N335" s="29"/>
      <c r="O335" s="19"/>
      <c r="P335" s="19"/>
      <c r="Q335" s="19"/>
      <c r="U335" s="20"/>
      <c r="V335" s="28"/>
    </row>
    <row r="336" spans="11:22" x14ac:dyDescent="0.45">
      <c r="K336" s="19"/>
      <c r="L336" s="20"/>
      <c r="M336" s="19"/>
      <c r="N336" s="29"/>
      <c r="O336" s="19"/>
      <c r="P336" s="19"/>
      <c r="Q336" s="19"/>
      <c r="U336" s="20"/>
      <c r="V336" s="28"/>
    </row>
    <row r="337" spans="11:22" x14ac:dyDescent="0.45">
      <c r="K337" s="19"/>
      <c r="L337" s="20"/>
      <c r="M337" s="19"/>
      <c r="N337" s="29"/>
      <c r="O337" s="19"/>
      <c r="P337" s="19"/>
      <c r="Q337" s="19"/>
      <c r="U337" s="20"/>
      <c r="V337" s="28"/>
    </row>
    <row r="338" spans="11:22" x14ac:dyDescent="0.45">
      <c r="K338" s="19"/>
      <c r="L338" s="20"/>
      <c r="M338" s="19"/>
      <c r="N338" s="29"/>
      <c r="O338" s="19"/>
      <c r="P338" s="19"/>
      <c r="Q338" s="19"/>
      <c r="U338" s="20"/>
      <c r="V338" s="28"/>
    </row>
    <row r="339" spans="11:22" x14ac:dyDescent="0.45">
      <c r="K339" s="19"/>
      <c r="L339" s="20"/>
      <c r="M339" s="19"/>
      <c r="N339" s="29"/>
      <c r="O339" s="19"/>
      <c r="P339" s="19"/>
      <c r="Q339" s="19"/>
      <c r="U339" s="20"/>
      <c r="V339" s="28"/>
    </row>
    <row r="340" spans="11:22" x14ac:dyDescent="0.45">
      <c r="K340" s="19"/>
      <c r="L340" s="20"/>
      <c r="M340" s="19"/>
      <c r="N340" s="29"/>
      <c r="O340" s="19"/>
      <c r="P340" s="19"/>
      <c r="Q340" s="19"/>
      <c r="U340" s="20"/>
      <c r="V340" s="28"/>
    </row>
    <row r="341" spans="11:22" x14ac:dyDescent="0.45">
      <c r="K341" s="19"/>
      <c r="L341" s="20"/>
      <c r="M341" s="19"/>
      <c r="N341" s="29"/>
      <c r="O341" s="19"/>
      <c r="P341" s="19"/>
      <c r="Q341" s="19"/>
      <c r="U341" s="20"/>
      <c r="V341" s="28"/>
    </row>
    <row r="342" spans="11:22" x14ac:dyDescent="0.45">
      <c r="K342" s="19"/>
      <c r="L342" s="20"/>
      <c r="M342" s="19"/>
      <c r="N342" s="29"/>
      <c r="O342" s="19"/>
      <c r="P342" s="19"/>
      <c r="Q342" s="19"/>
      <c r="U342" s="20"/>
      <c r="V342" s="28"/>
    </row>
    <row r="343" spans="11:22" x14ac:dyDescent="0.45">
      <c r="K343" s="19"/>
      <c r="L343" s="20"/>
      <c r="M343" s="19"/>
      <c r="N343" s="29"/>
      <c r="O343" s="19"/>
      <c r="P343" s="19"/>
      <c r="Q343" s="19"/>
      <c r="U343" s="20"/>
      <c r="V343" s="28"/>
    </row>
    <row r="344" spans="11:22" x14ac:dyDescent="0.45">
      <c r="K344" s="19"/>
      <c r="L344" s="20"/>
      <c r="M344" s="19"/>
      <c r="N344" s="29"/>
      <c r="O344" s="19"/>
      <c r="P344" s="19"/>
      <c r="Q344" s="19"/>
      <c r="U344" s="20"/>
      <c r="V344" s="28"/>
    </row>
    <row r="345" spans="11:22" x14ac:dyDescent="0.45">
      <c r="K345" s="19"/>
      <c r="L345" s="20"/>
      <c r="M345" s="19"/>
      <c r="N345" s="29"/>
      <c r="O345" s="19"/>
      <c r="P345" s="19"/>
      <c r="Q345" s="19"/>
      <c r="U345" s="20"/>
      <c r="V345" s="28"/>
    </row>
    <row r="346" spans="11:22" x14ac:dyDescent="0.45">
      <c r="K346" s="19"/>
      <c r="L346" s="20"/>
      <c r="M346" s="19"/>
      <c r="N346" s="29"/>
      <c r="O346" s="19"/>
      <c r="P346" s="19"/>
      <c r="Q346" s="19"/>
      <c r="U346" s="20"/>
      <c r="V346" s="28"/>
    </row>
    <row r="347" spans="11:22" x14ac:dyDescent="0.45">
      <c r="K347" s="19"/>
      <c r="L347" s="20"/>
      <c r="M347" s="19"/>
      <c r="N347" s="29"/>
      <c r="O347" s="19"/>
      <c r="P347" s="19"/>
      <c r="Q347" s="19"/>
      <c r="U347" s="20"/>
      <c r="V347" s="28"/>
    </row>
    <row r="348" spans="11:22" x14ac:dyDescent="0.45">
      <c r="K348" s="19"/>
      <c r="L348" s="20"/>
      <c r="M348" s="19"/>
      <c r="N348" s="29"/>
      <c r="O348" s="19"/>
      <c r="P348" s="19"/>
      <c r="Q348" s="19"/>
      <c r="U348" s="20"/>
      <c r="V348" s="28"/>
    </row>
    <row r="349" spans="11:22" x14ac:dyDescent="0.45">
      <c r="K349" s="19"/>
      <c r="L349" s="20"/>
      <c r="M349" s="19"/>
      <c r="N349" s="29"/>
      <c r="O349" s="19"/>
      <c r="P349" s="19"/>
      <c r="Q349" s="19"/>
      <c r="U349" s="20"/>
      <c r="V349" s="28"/>
    </row>
    <row r="350" spans="11:22" x14ac:dyDescent="0.45">
      <c r="K350" s="19"/>
      <c r="L350" s="20"/>
      <c r="M350" s="19"/>
      <c r="N350" s="29"/>
      <c r="O350" s="19"/>
      <c r="P350" s="19"/>
      <c r="Q350" s="19"/>
      <c r="U350" s="20"/>
      <c r="V350" s="28"/>
    </row>
    <row r="351" spans="11:22" x14ac:dyDescent="0.45">
      <c r="K351" s="19"/>
      <c r="L351" s="20"/>
      <c r="M351" s="19"/>
      <c r="N351" s="29"/>
      <c r="O351" s="19"/>
      <c r="P351" s="19"/>
      <c r="Q351" s="19"/>
      <c r="U351" s="20"/>
      <c r="V351" s="28"/>
    </row>
    <row r="352" spans="11:22" x14ac:dyDescent="0.45">
      <c r="K352" s="19"/>
      <c r="L352" s="20"/>
      <c r="M352" s="19"/>
      <c r="N352" s="29"/>
      <c r="O352" s="19"/>
      <c r="P352" s="19"/>
      <c r="Q352" s="19"/>
      <c r="U352" s="20"/>
      <c r="V352" s="28"/>
    </row>
    <row r="353" spans="11:22" x14ac:dyDescent="0.45">
      <c r="K353" s="19"/>
      <c r="L353" s="20"/>
      <c r="M353" s="19"/>
      <c r="N353" s="29"/>
      <c r="O353" s="19"/>
      <c r="P353" s="19"/>
      <c r="Q353" s="19"/>
      <c r="U353" s="20"/>
      <c r="V353" s="28"/>
    </row>
    <row r="354" spans="11:22" x14ac:dyDescent="0.45">
      <c r="K354" s="19"/>
      <c r="L354" s="20"/>
      <c r="M354" s="19"/>
      <c r="N354" s="29"/>
      <c r="O354" s="19"/>
      <c r="P354" s="19"/>
      <c r="Q354" s="19"/>
      <c r="U354" s="20"/>
      <c r="V354" s="28"/>
    </row>
    <row r="355" spans="11:22" x14ac:dyDescent="0.45">
      <c r="K355" s="19"/>
      <c r="L355" s="20"/>
      <c r="M355" s="19"/>
      <c r="N355" s="29"/>
      <c r="O355" s="19"/>
      <c r="P355" s="19"/>
      <c r="Q355" s="19"/>
      <c r="U355" s="20"/>
      <c r="V355" s="28"/>
    </row>
    <row r="356" spans="11:22" x14ac:dyDescent="0.45">
      <c r="K356" s="19"/>
      <c r="L356" s="20"/>
      <c r="M356" s="19"/>
      <c r="N356" s="29"/>
      <c r="O356" s="19"/>
      <c r="P356" s="19"/>
      <c r="Q356" s="19"/>
      <c r="U356" s="20"/>
      <c r="V356" s="28"/>
    </row>
    <row r="357" spans="11:22" x14ac:dyDescent="0.45">
      <c r="K357" s="19"/>
      <c r="L357" s="20"/>
      <c r="M357" s="19"/>
      <c r="N357" s="29"/>
      <c r="O357" s="19"/>
      <c r="P357" s="19"/>
      <c r="Q357" s="19"/>
      <c r="U357" s="20"/>
      <c r="V357" s="28"/>
    </row>
    <row r="358" spans="11:22" x14ac:dyDescent="0.45">
      <c r="K358" s="19"/>
      <c r="L358" s="20"/>
      <c r="M358" s="19"/>
      <c r="N358" s="29"/>
      <c r="O358" s="19"/>
      <c r="P358" s="19"/>
      <c r="Q358" s="19"/>
      <c r="U358" s="20"/>
      <c r="V358" s="28"/>
    </row>
    <row r="359" spans="11:22" x14ac:dyDescent="0.45">
      <c r="K359" s="19"/>
      <c r="L359" s="20"/>
      <c r="M359" s="19"/>
      <c r="N359" s="29"/>
      <c r="O359" s="19"/>
      <c r="P359" s="19"/>
      <c r="Q359" s="19"/>
      <c r="U359" s="20"/>
      <c r="V359" s="28"/>
    </row>
    <row r="360" spans="11:22" x14ac:dyDescent="0.45">
      <c r="K360" s="19"/>
      <c r="L360" s="20"/>
      <c r="M360" s="19"/>
      <c r="N360" s="29"/>
      <c r="O360" s="19"/>
      <c r="P360" s="19"/>
      <c r="Q360" s="19"/>
      <c r="U360" s="20"/>
      <c r="V360" s="28"/>
    </row>
    <row r="361" spans="11:22" x14ac:dyDescent="0.45">
      <c r="K361" s="19"/>
      <c r="L361" s="20"/>
      <c r="M361" s="19"/>
      <c r="N361" s="29"/>
      <c r="O361" s="19"/>
      <c r="P361" s="19"/>
      <c r="Q361" s="19"/>
      <c r="U361" s="20"/>
      <c r="V361" s="28"/>
    </row>
    <row r="362" spans="11:22" x14ac:dyDescent="0.45">
      <c r="K362" s="19"/>
      <c r="L362" s="20"/>
      <c r="M362" s="19"/>
      <c r="N362" s="29"/>
      <c r="O362" s="19"/>
      <c r="P362" s="19"/>
      <c r="Q362" s="19"/>
      <c r="U362" s="20"/>
      <c r="V362" s="28"/>
    </row>
    <row r="363" spans="11:22" x14ac:dyDescent="0.45">
      <c r="K363" s="19"/>
      <c r="L363" s="20"/>
      <c r="M363" s="19"/>
      <c r="N363" s="29"/>
      <c r="O363" s="19"/>
      <c r="P363" s="19"/>
      <c r="Q363" s="19"/>
      <c r="U363" s="20"/>
      <c r="V363" s="28"/>
    </row>
    <row r="364" spans="11:22" x14ac:dyDescent="0.45">
      <c r="K364" s="19"/>
      <c r="L364" s="20"/>
      <c r="M364" s="19"/>
      <c r="N364" s="29"/>
      <c r="O364" s="19"/>
      <c r="P364" s="19"/>
      <c r="Q364" s="19"/>
      <c r="U364" s="20"/>
      <c r="V364" s="28"/>
    </row>
    <row r="365" spans="11:22" x14ac:dyDescent="0.45">
      <c r="K365" s="19"/>
      <c r="L365" s="20"/>
      <c r="M365" s="19"/>
      <c r="N365" s="29"/>
      <c r="O365" s="19"/>
      <c r="P365" s="19"/>
      <c r="Q365" s="19"/>
      <c r="U365" s="20"/>
      <c r="V365" s="28"/>
    </row>
    <row r="366" spans="11:22" x14ac:dyDescent="0.45">
      <c r="K366" s="19"/>
      <c r="L366" s="20"/>
      <c r="M366" s="19"/>
      <c r="N366" s="29"/>
      <c r="O366" s="19"/>
      <c r="P366" s="19"/>
      <c r="Q366" s="19"/>
      <c r="U366" s="20"/>
      <c r="V366" s="28"/>
    </row>
    <row r="367" spans="11:22" x14ac:dyDescent="0.45">
      <c r="K367" s="19"/>
      <c r="L367" s="20"/>
      <c r="M367" s="19"/>
      <c r="N367" s="29"/>
      <c r="O367" s="19"/>
      <c r="P367" s="19"/>
      <c r="Q367" s="19"/>
      <c r="U367" s="20"/>
      <c r="V367" s="28"/>
    </row>
    <row r="368" spans="11:22" x14ac:dyDescent="0.45">
      <c r="K368" s="19"/>
      <c r="L368" s="20"/>
      <c r="M368" s="19"/>
      <c r="N368" s="29"/>
      <c r="O368" s="19"/>
      <c r="P368" s="19"/>
      <c r="Q368" s="19"/>
      <c r="U368" s="20"/>
      <c r="V368" s="28"/>
    </row>
    <row r="369" spans="11:22" x14ac:dyDescent="0.45">
      <c r="K369" s="19"/>
      <c r="L369" s="20"/>
      <c r="M369" s="19"/>
      <c r="N369" s="29"/>
      <c r="O369" s="19"/>
      <c r="P369" s="19"/>
      <c r="Q369" s="19"/>
      <c r="U369" s="20"/>
      <c r="V369" s="28"/>
    </row>
    <row r="370" spans="11:22" x14ac:dyDescent="0.45">
      <c r="K370" s="19"/>
      <c r="L370" s="20"/>
      <c r="M370" s="19"/>
      <c r="N370" s="29"/>
      <c r="O370" s="19"/>
      <c r="P370" s="19"/>
      <c r="Q370" s="19"/>
      <c r="U370" s="20"/>
      <c r="V370" s="28"/>
    </row>
    <row r="371" spans="11:22" x14ac:dyDescent="0.45">
      <c r="K371" s="19"/>
      <c r="L371" s="20"/>
      <c r="M371" s="19"/>
      <c r="N371" s="29"/>
      <c r="O371" s="19"/>
      <c r="P371" s="19"/>
      <c r="Q371" s="19"/>
      <c r="U371" s="20"/>
      <c r="V371" s="28"/>
    </row>
    <row r="372" spans="11:22" x14ac:dyDescent="0.45">
      <c r="K372" s="19"/>
      <c r="L372" s="20"/>
      <c r="M372" s="19"/>
      <c r="N372" s="29"/>
      <c r="O372" s="19"/>
      <c r="P372" s="19"/>
      <c r="Q372" s="19"/>
      <c r="U372" s="20"/>
      <c r="V372" s="28"/>
    </row>
    <row r="373" spans="11:22" x14ac:dyDescent="0.45">
      <c r="K373" s="19"/>
      <c r="L373" s="20"/>
      <c r="M373" s="19"/>
      <c r="N373" s="29"/>
      <c r="O373" s="19"/>
      <c r="P373" s="19"/>
      <c r="Q373" s="19"/>
      <c r="U373" s="20"/>
      <c r="V373" s="28"/>
    </row>
    <row r="374" spans="11:22" x14ac:dyDescent="0.45">
      <c r="K374" s="19"/>
      <c r="L374" s="20"/>
      <c r="M374" s="19"/>
      <c r="N374" s="29"/>
      <c r="O374" s="19"/>
      <c r="P374" s="19"/>
      <c r="Q374" s="19"/>
      <c r="U374" s="20"/>
      <c r="V374" s="28"/>
    </row>
    <row r="375" spans="11:22" x14ac:dyDescent="0.45">
      <c r="K375" s="19"/>
      <c r="L375" s="20"/>
      <c r="M375" s="19"/>
      <c r="N375" s="29"/>
      <c r="O375" s="19"/>
      <c r="P375" s="19"/>
      <c r="Q375" s="19"/>
      <c r="U375" s="20"/>
      <c r="V375" s="28"/>
    </row>
    <row r="376" spans="11:22" x14ac:dyDescent="0.45">
      <c r="K376" s="19"/>
      <c r="L376" s="20"/>
      <c r="M376" s="19"/>
      <c r="N376" s="29"/>
      <c r="O376" s="19"/>
      <c r="P376" s="19"/>
      <c r="Q376" s="19"/>
      <c r="U376" s="20"/>
      <c r="V376" s="28"/>
    </row>
    <row r="377" spans="11:22" x14ac:dyDescent="0.45">
      <c r="K377" s="19"/>
      <c r="L377" s="20"/>
      <c r="M377" s="19"/>
      <c r="N377" s="29"/>
      <c r="O377" s="19"/>
      <c r="P377" s="19"/>
      <c r="Q377" s="19"/>
      <c r="U377" s="20"/>
      <c r="V377" s="28"/>
    </row>
    <row r="378" spans="11:22" x14ac:dyDescent="0.45">
      <c r="K378" s="19"/>
      <c r="L378" s="20"/>
      <c r="M378" s="19"/>
      <c r="N378" s="29"/>
      <c r="O378" s="19"/>
      <c r="P378" s="19"/>
      <c r="Q378" s="19"/>
      <c r="U378" s="20"/>
      <c r="V378" s="28"/>
    </row>
    <row r="379" spans="11:22" x14ac:dyDescent="0.45">
      <c r="K379" s="19"/>
      <c r="L379" s="20"/>
      <c r="M379" s="19"/>
      <c r="N379" s="29"/>
      <c r="O379" s="19"/>
      <c r="P379" s="19"/>
      <c r="Q379" s="19"/>
      <c r="U379" s="20"/>
      <c r="V379" s="28"/>
    </row>
    <row r="380" spans="11:22" x14ac:dyDescent="0.45">
      <c r="K380" s="19"/>
      <c r="L380" s="20"/>
      <c r="M380" s="19"/>
      <c r="N380" s="29"/>
      <c r="O380" s="19"/>
      <c r="P380" s="19"/>
      <c r="Q380" s="19"/>
      <c r="U380" s="20"/>
      <c r="V380" s="28"/>
    </row>
    <row r="381" spans="11:22" x14ac:dyDescent="0.45">
      <c r="K381" s="19"/>
      <c r="L381" s="20"/>
      <c r="M381" s="19"/>
      <c r="N381" s="29"/>
      <c r="O381" s="19"/>
      <c r="P381" s="19"/>
      <c r="Q381" s="19"/>
      <c r="U381" s="20"/>
      <c r="V381" s="28"/>
    </row>
    <row r="382" spans="11:22" x14ac:dyDescent="0.45">
      <c r="K382" s="19"/>
      <c r="L382" s="20"/>
      <c r="M382" s="19"/>
      <c r="N382" s="29"/>
      <c r="O382" s="19"/>
      <c r="P382" s="19"/>
      <c r="Q382" s="19"/>
      <c r="U382" s="20"/>
      <c r="V382" s="28"/>
    </row>
    <row r="383" spans="11:22" x14ac:dyDescent="0.45">
      <c r="K383" s="19"/>
      <c r="L383" s="20"/>
      <c r="M383" s="19"/>
      <c r="N383" s="29"/>
      <c r="O383" s="19"/>
      <c r="P383" s="19"/>
      <c r="Q383" s="19"/>
      <c r="U383" s="20"/>
      <c r="V383" s="28"/>
    </row>
    <row r="384" spans="11:22" x14ac:dyDescent="0.45">
      <c r="K384" s="19"/>
      <c r="L384" s="20"/>
      <c r="M384" s="19"/>
      <c r="N384" s="29"/>
      <c r="O384" s="19"/>
      <c r="P384" s="19"/>
      <c r="Q384" s="19"/>
      <c r="U384" s="20"/>
      <c r="V384" s="28"/>
    </row>
    <row r="385" spans="11:22" x14ac:dyDescent="0.45">
      <c r="K385" s="19"/>
      <c r="L385" s="20"/>
      <c r="M385" s="19"/>
      <c r="N385" s="29"/>
      <c r="O385" s="19"/>
      <c r="P385" s="19"/>
      <c r="Q385" s="19"/>
      <c r="U385" s="20"/>
      <c r="V385" s="28"/>
    </row>
    <row r="386" spans="11:22" x14ac:dyDescent="0.45">
      <c r="K386" s="19"/>
      <c r="L386" s="20"/>
      <c r="M386" s="19"/>
      <c r="N386" s="29"/>
      <c r="O386" s="19"/>
      <c r="P386" s="19"/>
      <c r="Q386" s="19"/>
      <c r="U386" s="20"/>
      <c r="V386" s="28"/>
    </row>
    <row r="387" spans="11:22" x14ac:dyDescent="0.45">
      <c r="K387" s="19"/>
      <c r="L387" s="20"/>
      <c r="M387" s="19"/>
      <c r="N387" s="29"/>
      <c r="O387" s="19"/>
      <c r="P387" s="19"/>
      <c r="Q387" s="19"/>
      <c r="U387" s="20"/>
      <c r="V387" s="28"/>
    </row>
    <row r="388" spans="11:22" x14ac:dyDescent="0.45">
      <c r="K388" s="19"/>
      <c r="L388" s="20"/>
      <c r="M388" s="19"/>
      <c r="N388" s="29"/>
      <c r="O388" s="19"/>
      <c r="P388" s="19"/>
      <c r="Q388" s="19"/>
      <c r="U388" s="20"/>
      <c r="V388" s="28"/>
    </row>
    <row r="389" spans="11:22" x14ac:dyDescent="0.45">
      <c r="K389" s="19"/>
      <c r="L389" s="20"/>
      <c r="M389" s="19"/>
      <c r="N389" s="29"/>
      <c r="O389" s="19"/>
      <c r="P389" s="19"/>
      <c r="Q389" s="19"/>
      <c r="U389" s="20"/>
      <c r="V389" s="28"/>
    </row>
    <row r="390" spans="11:22" x14ac:dyDescent="0.45">
      <c r="K390" s="19"/>
      <c r="L390" s="20"/>
      <c r="M390" s="19"/>
      <c r="N390" s="29"/>
      <c r="O390" s="19"/>
      <c r="P390" s="19"/>
      <c r="Q390" s="19"/>
      <c r="U390" s="20"/>
      <c r="V390" s="28"/>
    </row>
    <row r="391" spans="11:22" x14ac:dyDescent="0.45">
      <c r="K391" s="19"/>
      <c r="L391" s="20"/>
      <c r="M391" s="19"/>
      <c r="N391" s="29"/>
      <c r="O391" s="19"/>
      <c r="P391" s="19"/>
      <c r="Q391" s="19"/>
      <c r="U391" s="20"/>
      <c r="V391" s="28"/>
    </row>
    <row r="392" spans="11:22" x14ac:dyDescent="0.45">
      <c r="K392" s="19"/>
      <c r="L392" s="20"/>
      <c r="M392" s="19"/>
      <c r="N392" s="29"/>
      <c r="O392" s="19"/>
      <c r="P392" s="19"/>
      <c r="Q392" s="19"/>
      <c r="U392" s="20"/>
      <c r="V392" s="28"/>
    </row>
    <row r="393" spans="11:22" x14ac:dyDescent="0.45">
      <c r="K393" s="19"/>
      <c r="L393" s="20"/>
      <c r="M393" s="19"/>
      <c r="N393" s="29"/>
      <c r="O393" s="19"/>
      <c r="P393" s="19"/>
      <c r="Q393" s="19"/>
      <c r="U393" s="20"/>
      <c r="V393" s="28"/>
    </row>
    <row r="394" spans="11:22" x14ac:dyDescent="0.45">
      <c r="K394" s="19"/>
      <c r="L394" s="20"/>
      <c r="M394" s="19"/>
      <c r="N394" s="29"/>
      <c r="O394" s="19"/>
      <c r="P394" s="19"/>
      <c r="Q394" s="19"/>
      <c r="U394" s="20"/>
      <c r="V394" s="28"/>
    </row>
    <row r="395" spans="11:22" x14ac:dyDescent="0.45">
      <c r="K395" s="19"/>
      <c r="L395" s="20"/>
      <c r="M395" s="19"/>
      <c r="N395" s="29"/>
      <c r="O395" s="19"/>
      <c r="P395" s="19"/>
      <c r="Q395" s="19"/>
      <c r="U395" s="20"/>
      <c r="V395" s="28"/>
    </row>
    <row r="396" spans="11:22" x14ac:dyDescent="0.45">
      <c r="K396" s="19"/>
      <c r="L396" s="20"/>
      <c r="M396" s="19"/>
      <c r="N396" s="29"/>
      <c r="O396" s="19"/>
      <c r="P396" s="19"/>
      <c r="Q396" s="19"/>
      <c r="U396" s="20"/>
      <c r="V396" s="28"/>
    </row>
    <row r="397" spans="11:22" x14ac:dyDescent="0.45">
      <c r="K397" s="19"/>
      <c r="L397" s="20"/>
      <c r="M397" s="19"/>
      <c r="N397" s="29"/>
      <c r="O397" s="19"/>
      <c r="P397" s="19"/>
      <c r="Q397" s="19"/>
      <c r="U397" s="20"/>
      <c r="V397" s="28"/>
    </row>
    <row r="398" spans="11:22" x14ac:dyDescent="0.45">
      <c r="K398" s="19"/>
      <c r="L398" s="20"/>
      <c r="M398" s="19"/>
      <c r="N398" s="29"/>
      <c r="O398" s="19"/>
      <c r="P398" s="19"/>
      <c r="Q398" s="19"/>
      <c r="U398" s="20"/>
      <c r="V398" s="28"/>
    </row>
    <row r="399" spans="11:22" x14ac:dyDescent="0.45">
      <c r="K399" s="19"/>
      <c r="L399" s="20"/>
      <c r="M399" s="19"/>
      <c r="N399" s="29"/>
      <c r="O399" s="19"/>
      <c r="P399" s="19"/>
      <c r="Q399" s="19"/>
      <c r="U399" s="20"/>
      <c r="V399" s="28"/>
    </row>
    <row r="400" spans="11:22" x14ac:dyDescent="0.45">
      <c r="K400" s="19"/>
      <c r="L400" s="20"/>
      <c r="M400" s="19"/>
      <c r="N400" s="29"/>
      <c r="O400" s="19"/>
      <c r="P400" s="19"/>
      <c r="Q400" s="19"/>
      <c r="U400" s="20"/>
      <c r="V400" s="28"/>
    </row>
    <row r="401" spans="11:22" x14ac:dyDescent="0.45">
      <c r="K401" s="19"/>
      <c r="L401" s="20"/>
      <c r="M401" s="19"/>
      <c r="N401" s="29"/>
      <c r="O401" s="19"/>
      <c r="P401" s="19"/>
      <c r="Q401" s="19"/>
      <c r="U401" s="20"/>
      <c r="V401" s="28"/>
    </row>
    <row r="402" spans="11:22" x14ac:dyDescent="0.45">
      <c r="K402" s="19"/>
      <c r="L402" s="20"/>
      <c r="M402" s="19"/>
      <c r="N402" s="29"/>
      <c r="O402" s="19"/>
      <c r="P402" s="19"/>
      <c r="Q402" s="19"/>
      <c r="U402" s="20"/>
      <c r="V402" s="28"/>
    </row>
    <row r="403" spans="11:22" x14ac:dyDescent="0.45">
      <c r="K403" s="19"/>
      <c r="L403" s="20"/>
      <c r="M403" s="19"/>
      <c r="N403" s="29"/>
      <c r="O403" s="19"/>
      <c r="P403" s="19"/>
      <c r="Q403" s="19"/>
      <c r="U403" s="20"/>
      <c r="V403" s="28"/>
    </row>
    <row r="404" spans="11:22" x14ac:dyDescent="0.45">
      <c r="K404" s="19"/>
      <c r="L404" s="20"/>
      <c r="M404" s="19"/>
      <c r="N404" s="29"/>
      <c r="O404" s="19"/>
      <c r="P404" s="19"/>
      <c r="Q404" s="19"/>
      <c r="U404" s="20"/>
      <c r="V404" s="28"/>
    </row>
    <row r="405" spans="11:22" x14ac:dyDescent="0.45">
      <c r="K405" s="19"/>
      <c r="L405" s="20"/>
      <c r="M405" s="19"/>
      <c r="N405" s="29"/>
      <c r="O405" s="19"/>
      <c r="P405" s="19"/>
      <c r="Q405" s="19"/>
      <c r="U405" s="20"/>
      <c r="V405" s="28"/>
    </row>
    <row r="406" spans="11:22" x14ac:dyDescent="0.45">
      <c r="K406" s="19"/>
      <c r="L406" s="20"/>
      <c r="M406" s="19"/>
      <c r="N406" s="29"/>
      <c r="O406" s="19"/>
      <c r="P406" s="19"/>
      <c r="Q406" s="19"/>
      <c r="U406" s="20"/>
      <c r="V406" s="28"/>
    </row>
    <row r="407" spans="11:22" x14ac:dyDescent="0.45">
      <c r="K407" s="19"/>
      <c r="L407" s="20"/>
      <c r="M407" s="19"/>
      <c r="N407" s="29"/>
      <c r="O407" s="19"/>
      <c r="P407" s="19"/>
      <c r="Q407" s="19"/>
      <c r="U407" s="20"/>
      <c r="V407" s="28"/>
    </row>
    <row r="408" spans="11:22" x14ac:dyDescent="0.45">
      <c r="K408" s="19"/>
      <c r="L408" s="20"/>
      <c r="M408" s="19"/>
      <c r="N408" s="29"/>
      <c r="O408" s="19"/>
      <c r="P408" s="19"/>
      <c r="Q408" s="19"/>
      <c r="U408" s="20"/>
      <c r="V408" s="28"/>
    </row>
    <row r="409" spans="11:22" x14ac:dyDescent="0.45">
      <c r="K409" s="19"/>
      <c r="L409" s="20"/>
      <c r="M409" s="19"/>
      <c r="N409" s="29"/>
      <c r="O409" s="19"/>
      <c r="P409" s="19"/>
      <c r="Q409" s="19"/>
      <c r="U409" s="20"/>
      <c r="V409" s="28"/>
    </row>
    <row r="410" spans="11:22" x14ac:dyDescent="0.45">
      <c r="K410" s="19"/>
      <c r="L410" s="20"/>
      <c r="M410" s="19"/>
      <c r="N410" s="29"/>
      <c r="O410" s="19"/>
      <c r="P410" s="19"/>
      <c r="Q410" s="19"/>
      <c r="U410" s="20"/>
      <c r="V410" s="28"/>
    </row>
    <row r="411" spans="11:22" x14ac:dyDescent="0.45">
      <c r="K411" s="19"/>
      <c r="L411" s="20"/>
      <c r="M411" s="19"/>
      <c r="N411" s="29"/>
      <c r="O411" s="19"/>
      <c r="P411" s="19"/>
      <c r="Q411" s="19"/>
      <c r="U411" s="20"/>
      <c r="V411" s="28"/>
    </row>
    <row r="412" spans="11:22" x14ac:dyDescent="0.45">
      <c r="K412" s="19"/>
      <c r="L412" s="20"/>
      <c r="M412" s="19"/>
      <c r="N412" s="29"/>
      <c r="O412" s="19"/>
      <c r="P412" s="19"/>
      <c r="Q412" s="19"/>
      <c r="U412" s="20"/>
      <c r="V412" s="28"/>
    </row>
    <row r="413" spans="11:22" x14ac:dyDescent="0.45">
      <c r="K413" s="19"/>
      <c r="L413" s="20"/>
      <c r="M413" s="19"/>
      <c r="N413" s="29"/>
      <c r="O413" s="19"/>
      <c r="P413" s="19"/>
      <c r="Q413" s="19"/>
      <c r="U413" s="20"/>
      <c r="V413" s="28"/>
    </row>
    <row r="414" spans="11:22" x14ac:dyDescent="0.45">
      <c r="K414" s="19"/>
      <c r="L414" s="20"/>
      <c r="M414" s="19"/>
      <c r="N414" s="29"/>
      <c r="O414" s="19"/>
      <c r="P414" s="19"/>
      <c r="Q414" s="19"/>
      <c r="U414" s="20"/>
      <c r="V414" s="28"/>
    </row>
    <row r="415" spans="11:22" x14ac:dyDescent="0.45">
      <c r="K415" s="19"/>
      <c r="L415" s="20"/>
      <c r="M415" s="19"/>
      <c r="N415" s="29"/>
      <c r="O415" s="19"/>
      <c r="P415" s="19"/>
      <c r="Q415" s="19"/>
      <c r="U415" s="20"/>
      <c r="V415" s="28"/>
    </row>
    <row r="416" spans="11:22" x14ac:dyDescent="0.45">
      <c r="K416" s="19"/>
      <c r="L416" s="20"/>
      <c r="M416" s="19"/>
      <c r="N416" s="29"/>
      <c r="O416" s="19"/>
      <c r="P416" s="19"/>
      <c r="Q416" s="19"/>
      <c r="U416" s="20"/>
      <c r="V416" s="28"/>
    </row>
    <row r="417" spans="11:22" x14ac:dyDescent="0.45">
      <c r="K417" s="19"/>
      <c r="L417" s="20"/>
      <c r="M417" s="19"/>
      <c r="N417" s="29"/>
      <c r="O417" s="19"/>
      <c r="P417" s="19"/>
      <c r="Q417" s="19"/>
      <c r="U417" s="20"/>
      <c r="V417" s="28"/>
    </row>
    <row r="418" spans="11:22" x14ac:dyDescent="0.45">
      <c r="K418" s="19"/>
      <c r="L418" s="20"/>
      <c r="M418" s="19"/>
      <c r="N418" s="29"/>
      <c r="O418" s="19"/>
      <c r="P418" s="19"/>
      <c r="Q418" s="19"/>
      <c r="U418" s="20"/>
      <c r="V418" s="28"/>
    </row>
    <row r="419" spans="11:22" x14ac:dyDescent="0.45">
      <c r="K419" s="19"/>
      <c r="L419" s="20"/>
      <c r="M419" s="19"/>
      <c r="N419" s="29"/>
      <c r="O419" s="19"/>
      <c r="P419" s="19"/>
      <c r="Q419" s="19"/>
      <c r="U419" s="20"/>
      <c r="V419" s="28"/>
    </row>
    <row r="420" spans="11:22" x14ac:dyDescent="0.45">
      <c r="K420" s="19"/>
      <c r="L420" s="20"/>
      <c r="M420" s="19"/>
      <c r="N420" s="29"/>
      <c r="O420" s="19"/>
      <c r="P420" s="19"/>
      <c r="Q420" s="19"/>
      <c r="U420" s="20"/>
      <c r="V420" s="28"/>
    </row>
    <row r="421" spans="11:22" x14ac:dyDescent="0.45">
      <c r="K421" s="19"/>
      <c r="L421" s="20"/>
      <c r="M421" s="19"/>
      <c r="N421" s="29"/>
      <c r="O421" s="19"/>
      <c r="P421" s="19"/>
      <c r="Q421" s="19"/>
      <c r="U421" s="20"/>
      <c r="V421" s="28"/>
    </row>
    <row r="422" spans="11:22" x14ac:dyDescent="0.45">
      <c r="K422" s="19"/>
      <c r="L422" s="20"/>
      <c r="M422" s="19"/>
      <c r="N422" s="29"/>
      <c r="O422" s="19"/>
      <c r="P422" s="19"/>
      <c r="Q422" s="19"/>
      <c r="U422" s="20"/>
      <c r="V422" s="28"/>
    </row>
    <row r="423" spans="11:22" x14ac:dyDescent="0.45">
      <c r="K423" s="19"/>
      <c r="L423" s="20"/>
      <c r="M423" s="19"/>
      <c r="N423" s="29"/>
      <c r="O423" s="19"/>
      <c r="P423" s="19"/>
      <c r="Q423" s="19"/>
      <c r="U423" s="20"/>
      <c r="V423" s="28"/>
    </row>
    <row r="424" spans="11:22" x14ac:dyDescent="0.45">
      <c r="K424" s="19"/>
      <c r="L424" s="20"/>
      <c r="M424" s="19"/>
      <c r="N424" s="29"/>
      <c r="O424" s="19"/>
      <c r="P424" s="19"/>
      <c r="Q424" s="19"/>
      <c r="U424" s="20"/>
      <c r="V424" s="28"/>
    </row>
    <row r="425" spans="11:22" x14ac:dyDescent="0.45">
      <c r="K425" s="19"/>
      <c r="L425" s="20"/>
      <c r="M425" s="19"/>
      <c r="N425" s="29"/>
      <c r="O425" s="19"/>
      <c r="P425" s="19"/>
      <c r="Q425" s="19"/>
      <c r="U425" s="20"/>
      <c r="V425" s="28"/>
    </row>
    <row r="426" spans="11:22" x14ac:dyDescent="0.45">
      <c r="K426" s="19"/>
      <c r="L426" s="20"/>
      <c r="M426" s="19"/>
      <c r="N426" s="29"/>
      <c r="O426" s="19"/>
      <c r="P426" s="19"/>
      <c r="Q426" s="19"/>
      <c r="U426" s="20"/>
      <c r="V426" s="28"/>
    </row>
    <row r="427" spans="11:22" x14ac:dyDescent="0.45">
      <c r="K427" s="19"/>
      <c r="L427" s="20"/>
      <c r="M427" s="19"/>
      <c r="N427" s="29"/>
      <c r="O427" s="19"/>
      <c r="P427" s="19"/>
      <c r="Q427" s="19"/>
      <c r="U427" s="20"/>
      <c r="V427" s="28"/>
    </row>
    <row r="428" spans="11:22" x14ac:dyDescent="0.45">
      <c r="K428" s="19"/>
      <c r="L428" s="20"/>
      <c r="M428" s="19"/>
      <c r="N428" s="29"/>
      <c r="O428" s="19"/>
      <c r="P428" s="19"/>
      <c r="Q428" s="19"/>
      <c r="U428" s="20"/>
      <c r="V428" s="28"/>
    </row>
    <row r="429" spans="11:22" x14ac:dyDescent="0.45">
      <c r="K429" s="19"/>
      <c r="L429" s="20"/>
      <c r="M429" s="19"/>
      <c r="N429" s="29"/>
      <c r="O429" s="19"/>
      <c r="P429" s="19"/>
      <c r="Q429" s="19"/>
      <c r="U429" s="20"/>
      <c r="V429" s="28"/>
    </row>
    <row r="430" spans="11:22" x14ac:dyDescent="0.45">
      <c r="K430" s="19"/>
      <c r="L430" s="20"/>
      <c r="M430" s="19"/>
      <c r="N430" s="29"/>
      <c r="O430" s="19"/>
      <c r="P430" s="19"/>
      <c r="Q430" s="19"/>
      <c r="U430" s="20"/>
      <c r="V430" s="28"/>
    </row>
    <row r="431" spans="11:22" x14ac:dyDescent="0.45">
      <c r="K431" s="19"/>
      <c r="L431" s="20"/>
      <c r="M431" s="19"/>
      <c r="N431" s="29"/>
      <c r="O431" s="19"/>
      <c r="P431" s="19"/>
      <c r="Q431" s="19"/>
      <c r="U431" s="20"/>
      <c r="V431" s="28"/>
    </row>
    <row r="432" spans="11:22" x14ac:dyDescent="0.45">
      <c r="K432" s="19"/>
      <c r="L432" s="20"/>
      <c r="M432" s="19"/>
      <c r="N432" s="29"/>
      <c r="O432" s="19"/>
      <c r="P432" s="19"/>
      <c r="Q432" s="19"/>
      <c r="U432" s="20"/>
      <c r="V432" s="28"/>
    </row>
    <row r="433" spans="11:22" x14ac:dyDescent="0.45">
      <c r="K433" s="19"/>
      <c r="L433" s="20"/>
      <c r="M433" s="19"/>
      <c r="N433" s="29"/>
      <c r="O433" s="19"/>
      <c r="P433" s="19"/>
      <c r="Q433" s="19"/>
      <c r="U433" s="20"/>
      <c r="V433" s="28"/>
    </row>
    <row r="434" spans="11:22" x14ac:dyDescent="0.45">
      <c r="K434" s="19"/>
      <c r="L434" s="20"/>
      <c r="M434" s="19"/>
      <c r="N434" s="29"/>
      <c r="O434" s="19"/>
      <c r="P434" s="19"/>
      <c r="Q434" s="19"/>
      <c r="U434" s="20"/>
      <c r="V434" s="28"/>
    </row>
    <row r="435" spans="11:22" x14ac:dyDescent="0.45">
      <c r="K435" s="19"/>
      <c r="L435" s="20"/>
      <c r="M435" s="19"/>
      <c r="N435" s="29"/>
      <c r="O435" s="19"/>
      <c r="P435" s="19"/>
      <c r="Q435" s="19"/>
      <c r="U435" s="20"/>
      <c r="V435" s="28"/>
    </row>
    <row r="436" spans="11:22" x14ac:dyDescent="0.45">
      <c r="K436" s="19"/>
      <c r="L436" s="20"/>
      <c r="M436" s="19"/>
      <c r="N436" s="29"/>
      <c r="O436" s="19"/>
      <c r="P436" s="19"/>
      <c r="Q436" s="19"/>
      <c r="U436" s="20"/>
      <c r="V436" s="28"/>
    </row>
    <row r="437" spans="11:22" x14ac:dyDescent="0.45">
      <c r="K437" s="19"/>
      <c r="L437" s="20"/>
      <c r="M437" s="19"/>
      <c r="N437" s="29"/>
      <c r="O437" s="19"/>
      <c r="P437" s="19"/>
      <c r="Q437" s="19"/>
      <c r="U437" s="20"/>
      <c r="V437" s="28"/>
    </row>
    <row r="438" spans="11:22" x14ac:dyDescent="0.45">
      <c r="K438" s="19"/>
      <c r="L438" s="20"/>
      <c r="M438" s="19"/>
      <c r="N438" s="29"/>
      <c r="O438" s="19"/>
      <c r="P438" s="19"/>
      <c r="Q438" s="19"/>
      <c r="U438" s="20"/>
      <c r="V438" s="28"/>
    </row>
    <row r="439" spans="11:22" x14ac:dyDescent="0.45">
      <c r="K439" s="19"/>
      <c r="L439" s="20"/>
      <c r="M439" s="19"/>
      <c r="N439" s="29"/>
      <c r="O439" s="19"/>
      <c r="P439" s="19"/>
      <c r="Q439" s="19"/>
      <c r="U439" s="20"/>
      <c r="V439" s="28"/>
    </row>
    <row r="440" spans="11:22" x14ac:dyDescent="0.45">
      <c r="K440" s="19"/>
      <c r="L440" s="20"/>
      <c r="M440" s="19"/>
      <c r="N440" s="29"/>
      <c r="O440" s="19"/>
      <c r="P440" s="19"/>
      <c r="Q440" s="19"/>
      <c r="U440" s="20"/>
      <c r="V440" s="28"/>
    </row>
    <row r="441" spans="11:22" x14ac:dyDescent="0.45">
      <c r="K441" s="19"/>
      <c r="L441" s="20"/>
      <c r="M441" s="19"/>
      <c r="N441" s="29"/>
      <c r="O441" s="19"/>
      <c r="P441" s="19"/>
      <c r="Q441" s="19"/>
      <c r="U441" s="20"/>
      <c r="V441" s="28"/>
    </row>
    <row r="442" spans="11:22" x14ac:dyDescent="0.45">
      <c r="K442" s="19"/>
      <c r="L442" s="20"/>
      <c r="M442" s="19"/>
      <c r="N442" s="29"/>
      <c r="O442" s="19"/>
      <c r="P442" s="19"/>
      <c r="Q442" s="19"/>
      <c r="U442" s="20"/>
      <c r="V442" s="28"/>
    </row>
    <row r="443" spans="11:22" x14ac:dyDescent="0.45">
      <c r="K443" s="19"/>
      <c r="L443" s="20"/>
      <c r="M443" s="19"/>
      <c r="N443" s="29"/>
      <c r="O443" s="19"/>
      <c r="P443" s="19"/>
      <c r="Q443" s="19"/>
      <c r="U443" s="20"/>
      <c r="V443" s="28"/>
    </row>
    <row r="444" spans="11:22" x14ac:dyDescent="0.45">
      <c r="K444" s="19"/>
      <c r="L444" s="20"/>
      <c r="M444" s="19"/>
      <c r="N444" s="29"/>
      <c r="O444" s="19"/>
      <c r="P444" s="19"/>
      <c r="Q444" s="19"/>
      <c r="U444" s="20"/>
      <c r="V444" s="28"/>
    </row>
    <row r="445" spans="11:22" x14ac:dyDescent="0.45">
      <c r="K445" s="19"/>
      <c r="L445" s="20"/>
      <c r="M445" s="19"/>
      <c r="N445" s="29"/>
      <c r="O445" s="19"/>
      <c r="P445" s="19"/>
      <c r="Q445" s="19"/>
      <c r="U445" s="20"/>
      <c r="V445" s="28"/>
    </row>
    <row r="446" spans="11:22" x14ac:dyDescent="0.45">
      <c r="K446" s="19"/>
      <c r="L446" s="20"/>
      <c r="M446" s="19"/>
      <c r="N446" s="29"/>
      <c r="O446" s="19"/>
      <c r="P446" s="19"/>
      <c r="Q446" s="19"/>
      <c r="U446" s="20"/>
      <c r="V446" s="28"/>
    </row>
    <row r="447" spans="11:22" x14ac:dyDescent="0.45">
      <c r="K447" s="19"/>
      <c r="L447" s="20"/>
      <c r="M447" s="19"/>
      <c r="N447" s="29"/>
      <c r="O447" s="19"/>
      <c r="P447" s="19"/>
      <c r="Q447" s="19"/>
      <c r="U447" s="20"/>
      <c r="V447" s="28"/>
    </row>
    <row r="448" spans="11:22" x14ac:dyDescent="0.45">
      <c r="K448" s="19"/>
      <c r="L448" s="20"/>
      <c r="M448" s="19"/>
      <c r="N448" s="29"/>
      <c r="O448" s="19"/>
      <c r="P448" s="19"/>
      <c r="Q448" s="19"/>
      <c r="U448" s="20"/>
      <c r="V448" s="28"/>
    </row>
    <row r="449" spans="11:22" x14ac:dyDescent="0.45">
      <c r="K449" s="19"/>
      <c r="L449" s="20"/>
      <c r="M449" s="19"/>
      <c r="N449" s="29"/>
      <c r="O449" s="19"/>
      <c r="P449" s="19"/>
      <c r="Q449" s="19"/>
      <c r="U449" s="20"/>
      <c r="V449" s="28"/>
    </row>
    <row r="450" spans="11:22" x14ac:dyDescent="0.45">
      <c r="K450" s="19"/>
      <c r="L450" s="20"/>
      <c r="M450" s="19"/>
      <c r="N450" s="29"/>
      <c r="O450" s="19"/>
      <c r="P450" s="19"/>
      <c r="Q450" s="19"/>
      <c r="U450" s="20"/>
      <c r="V450" s="28"/>
    </row>
    <row r="451" spans="11:22" x14ac:dyDescent="0.45">
      <c r="K451" s="19"/>
      <c r="L451" s="20"/>
      <c r="M451" s="19"/>
      <c r="N451" s="29"/>
      <c r="O451" s="19"/>
      <c r="P451" s="19"/>
      <c r="Q451" s="19"/>
      <c r="U451" s="20"/>
      <c r="V451" s="28"/>
    </row>
    <row r="452" spans="11:22" x14ac:dyDescent="0.45">
      <c r="K452" s="19"/>
      <c r="L452" s="20"/>
      <c r="M452" s="19"/>
      <c r="N452" s="29"/>
      <c r="O452" s="19"/>
      <c r="P452" s="19"/>
      <c r="Q452" s="19"/>
      <c r="U452" s="20"/>
      <c r="V452" s="28"/>
    </row>
    <row r="453" spans="11:22" x14ac:dyDescent="0.45">
      <c r="K453" s="19"/>
      <c r="L453" s="20"/>
      <c r="M453" s="19"/>
      <c r="N453" s="29"/>
      <c r="O453" s="19"/>
      <c r="P453" s="19"/>
      <c r="Q453" s="19"/>
      <c r="U453" s="20"/>
      <c r="V453" s="28"/>
    </row>
    <row r="454" spans="11:22" x14ac:dyDescent="0.45">
      <c r="K454" s="19"/>
      <c r="L454" s="20"/>
      <c r="M454" s="19"/>
      <c r="N454" s="29"/>
      <c r="O454" s="19"/>
      <c r="P454" s="19"/>
      <c r="Q454" s="19"/>
      <c r="U454" s="20"/>
      <c r="V454" s="28"/>
    </row>
    <row r="455" spans="11:22" x14ac:dyDescent="0.45">
      <c r="K455" s="19"/>
      <c r="L455" s="20"/>
      <c r="M455" s="19"/>
      <c r="N455" s="29"/>
      <c r="O455" s="19"/>
      <c r="P455" s="19"/>
      <c r="Q455" s="19"/>
      <c r="U455" s="20"/>
      <c r="V455" s="28"/>
    </row>
    <row r="456" spans="11:22" x14ac:dyDescent="0.45">
      <c r="K456" s="19"/>
      <c r="L456" s="20"/>
      <c r="M456" s="19"/>
      <c r="N456" s="29"/>
      <c r="O456" s="19"/>
      <c r="P456" s="19"/>
      <c r="Q456" s="19"/>
      <c r="U456" s="20"/>
      <c r="V456" s="28"/>
    </row>
    <row r="457" spans="11:22" x14ac:dyDescent="0.45">
      <c r="K457" s="19"/>
      <c r="L457" s="20"/>
      <c r="M457" s="19"/>
      <c r="N457" s="29"/>
      <c r="O457" s="19"/>
      <c r="P457" s="19"/>
      <c r="Q457" s="19"/>
      <c r="U457" s="20"/>
      <c r="V457" s="28"/>
    </row>
    <row r="458" spans="11:22" x14ac:dyDescent="0.45">
      <c r="K458" s="19"/>
      <c r="L458" s="20"/>
      <c r="M458" s="19"/>
      <c r="N458" s="29"/>
      <c r="O458" s="19"/>
      <c r="P458" s="19"/>
      <c r="Q458" s="19"/>
      <c r="U458" s="20"/>
      <c r="V458" s="28"/>
    </row>
    <row r="459" spans="11:22" x14ac:dyDescent="0.45">
      <c r="K459" s="19"/>
      <c r="L459" s="20"/>
      <c r="M459" s="19"/>
      <c r="N459" s="29"/>
      <c r="O459" s="19"/>
      <c r="P459" s="19"/>
      <c r="Q459" s="19"/>
      <c r="U459" s="20"/>
      <c r="V459" s="28"/>
    </row>
    <row r="460" spans="11:22" x14ac:dyDescent="0.45">
      <c r="K460" s="19"/>
      <c r="L460" s="20"/>
      <c r="M460" s="19"/>
      <c r="N460" s="29"/>
      <c r="O460" s="19"/>
      <c r="P460" s="19"/>
      <c r="Q460" s="19"/>
      <c r="U460" s="20"/>
      <c r="V460" s="28"/>
    </row>
    <row r="461" spans="11:22" x14ac:dyDescent="0.45">
      <c r="K461" s="19"/>
      <c r="L461" s="20"/>
      <c r="M461" s="19"/>
      <c r="N461" s="29"/>
      <c r="O461" s="19"/>
      <c r="P461" s="19"/>
      <c r="Q461" s="19"/>
      <c r="U461" s="20"/>
      <c r="V461" s="28"/>
    </row>
    <row r="462" spans="11:22" x14ac:dyDescent="0.45">
      <c r="K462" s="19"/>
      <c r="L462" s="20"/>
      <c r="M462" s="19"/>
      <c r="N462" s="29"/>
      <c r="O462" s="19"/>
      <c r="P462" s="19"/>
      <c r="Q462" s="19"/>
      <c r="U462" s="20"/>
      <c r="V462" s="28"/>
    </row>
    <row r="463" spans="11:22" x14ac:dyDescent="0.45">
      <c r="K463" s="19"/>
      <c r="L463" s="20"/>
      <c r="M463" s="19"/>
      <c r="N463" s="29"/>
      <c r="O463" s="19"/>
      <c r="P463" s="19"/>
      <c r="Q463" s="19"/>
      <c r="U463" s="20"/>
      <c r="V463" s="28"/>
    </row>
    <row r="464" spans="11:22" x14ac:dyDescent="0.45">
      <c r="K464" s="19"/>
      <c r="L464" s="20"/>
      <c r="M464" s="19"/>
      <c r="N464" s="29"/>
      <c r="O464" s="19"/>
      <c r="P464" s="19"/>
      <c r="Q464" s="19"/>
      <c r="U464" s="20"/>
      <c r="V464" s="28"/>
    </row>
    <row r="465" spans="11:22" x14ac:dyDescent="0.45">
      <c r="K465" s="19"/>
      <c r="L465" s="20"/>
      <c r="M465" s="19"/>
      <c r="N465" s="29"/>
      <c r="O465" s="19"/>
      <c r="P465" s="19"/>
      <c r="Q465" s="19"/>
      <c r="U465" s="20"/>
      <c r="V465" s="28"/>
    </row>
    <row r="466" spans="11:22" x14ac:dyDescent="0.45">
      <c r="K466" s="19"/>
      <c r="L466" s="20"/>
      <c r="M466" s="19"/>
      <c r="N466" s="29"/>
      <c r="O466" s="19"/>
      <c r="P466" s="19"/>
      <c r="Q466" s="19"/>
      <c r="U466" s="20"/>
      <c r="V466" s="28"/>
    </row>
    <row r="467" spans="11:22" x14ac:dyDescent="0.45">
      <c r="K467" s="19"/>
      <c r="L467" s="20"/>
      <c r="M467" s="19"/>
      <c r="N467" s="29"/>
      <c r="O467" s="19"/>
      <c r="P467" s="19"/>
      <c r="Q467" s="19"/>
      <c r="U467" s="20"/>
      <c r="V467" s="28"/>
    </row>
    <row r="468" spans="11:22" x14ac:dyDescent="0.45">
      <c r="K468" s="19"/>
      <c r="L468" s="20"/>
      <c r="M468" s="19"/>
      <c r="N468" s="29"/>
      <c r="O468" s="19"/>
      <c r="P468" s="19"/>
      <c r="Q468" s="19"/>
      <c r="U468" s="20"/>
      <c r="V468" s="28"/>
    </row>
    <row r="469" spans="11:22" x14ac:dyDescent="0.45">
      <c r="K469" s="19"/>
      <c r="L469" s="20"/>
      <c r="M469" s="19"/>
      <c r="N469" s="29"/>
      <c r="O469" s="19"/>
      <c r="P469" s="19"/>
      <c r="Q469" s="19"/>
      <c r="U469" s="20"/>
      <c r="V469" s="28"/>
    </row>
    <row r="470" spans="11:22" x14ac:dyDescent="0.45">
      <c r="K470" s="19"/>
      <c r="L470" s="20"/>
      <c r="M470" s="19"/>
      <c r="N470" s="29"/>
      <c r="O470" s="19"/>
      <c r="P470" s="19"/>
      <c r="Q470" s="19"/>
      <c r="U470" s="20"/>
      <c r="V470" s="28"/>
    </row>
    <row r="471" spans="11:22" x14ac:dyDescent="0.45">
      <c r="K471" s="19"/>
      <c r="L471" s="20"/>
      <c r="M471" s="19"/>
      <c r="N471" s="29"/>
      <c r="O471" s="19"/>
      <c r="P471" s="19"/>
      <c r="Q471" s="19"/>
      <c r="U471" s="20"/>
      <c r="V471" s="28"/>
    </row>
    <row r="472" spans="11:22" x14ac:dyDescent="0.45">
      <c r="K472" s="19"/>
      <c r="L472" s="20"/>
      <c r="M472" s="19"/>
      <c r="N472" s="29"/>
      <c r="O472" s="19"/>
      <c r="P472" s="19"/>
      <c r="Q472" s="19"/>
      <c r="U472" s="20"/>
      <c r="V472" s="28"/>
    </row>
    <row r="473" spans="11:22" x14ac:dyDescent="0.45">
      <c r="K473" s="19"/>
      <c r="L473" s="20"/>
      <c r="M473" s="19"/>
      <c r="N473" s="29"/>
      <c r="O473" s="19"/>
      <c r="P473" s="19"/>
      <c r="Q473" s="19"/>
      <c r="U473" s="20"/>
      <c r="V473" s="28"/>
    </row>
    <row r="474" spans="11:22" x14ac:dyDescent="0.45">
      <c r="K474" s="19"/>
      <c r="L474" s="20"/>
      <c r="M474" s="19"/>
      <c r="N474" s="29"/>
      <c r="O474" s="19"/>
      <c r="P474" s="19"/>
      <c r="Q474" s="19"/>
      <c r="U474" s="20"/>
      <c r="V474" s="28"/>
    </row>
    <row r="475" spans="11:22" x14ac:dyDescent="0.45">
      <c r="K475" s="19"/>
      <c r="L475" s="20"/>
      <c r="M475" s="19"/>
      <c r="N475" s="29"/>
      <c r="O475" s="19"/>
      <c r="P475" s="19"/>
      <c r="Q475" s="19"/>
      <c r="U475" s="20"/>
      <c r="V475" s="28"/>
    </row>
    <row r="476" spans="11:22" x14ac:dyDescent="0.45">
      <c r="K476" s="19"/>
      <c r="L476" s="20"/>
      <c r="M476" s="19"/>
      <c r="N476" s="29"/>
      <c r="O476" s="19"/>
      <c r="P476" s="19"/>
      <c r="Q476" s="19"/>
      <c r="U476" s="20"/>
      <c r="V476" s="28"/>
    </row>
    <row r="477" spans="11:22" x14ac:dyDescent="0.45">
      <c r="K477" s="19"/>
      <c r="L477" s="20"/>
      <c r="M477" s="19"/>
      <c r="N477" s="29"/>
      <c r="O477" s="19"/>
      <c r="P477" s="19"/>
      <c r="Q477" s="19"/>
      <c r="U477" s="20"/>
      <c r="V477" s="28"/>
    </row>
    <row r="478" spans="11:22" x14ac:dyDescent="0.45">
      <c r="K478" s="19"/>
      <c r="L478" s="20"/>
      <c r="M478" s="19"/>
      <c r="N478" s="29"/>
      <c r="O478" s="19"/>
      <c r="P478" s="19"/>
      <c r="Q478" s="19"/>
      <c r="U478" s="20"/>
      <c r="V478" s="28"/>
    </row>
    <row r="479" spans="11:22" x14ac:dyDescent="0.45">
      <c r="K479" s="19"/>
      <c r="L479" s="20"/>
      <c r="M479" s="19"/>
      <c r="N479" s="29"/>
      <c r="O479" s="19"/>
      <c r="P479" s="19"/>
      <c r="Q479" s="19"/>
      <c r="U479" s="20"/>
      <c r="V479" s="28"/>
    </row>
    <row r="480" spans="11:22" x14ac:dyDescent="0.45">
      <c r="K480" s="19"/>
      <c r="L480" s="20"/>
      <c r="M480" s="19"/>
      <c r="N480" s="29"/>
      <c r="O480" s="19"/>
      <c r="P480" s="19"/>
      <c r="Q480" s="19"/>
      <c r="U480" s="20"/>
      <c r="V480" s="28"/>
    </row>
    <row r="481" spans="11:22" x14ac:dyDescent="0.45">
      <c r="K481" s="19"/>
      <c r="L481" s="20"/>
      <c r="M481" s="19"/>
      <c r="N481" s="29"/>
      <c r="O481" s="19"/>
      <c r="P481" s="19"/>
      <c r="Q481" s="19"/>
      <c r="U481" s="20"/>
      <c r="V481" s="28"/>
    </row>
    <row r="482" spans="11:22" x14ac:dyDescent="0.45">
      <c r="K482" s="19"/>
      <c r="L482" s="20"/>
      <c r="M482" s="19"/>
      <c r="N482" s="29"/>
      <c r="O482" s="19"/>
      <c r="P482" s="19"/>
      <c r="Q482" s="19"/>
      <c r="U482" s="20"/>
      <c r="V482" s="28"/>
    </row>
    <row r="483" spans="11:22" x14ac:dyDescent="0.45">
      <c r="K483" s="19"/>
      <c r="L483" s="20"/>
      <c r="M483" s="19"/>
      <c r="N483" s="29"/>
      <c r="O483" s="19"/>
      <c r="P483" s="19"/>
      <c r="Q483" s="19"/>
      <c r="U483" s="20"/>
      <c r="V483" s="28"/>
    </row>
    <row r="484" spans="11:22" x14ac:dyDescent="0.45">
      <c r="K484" s="19"/>
      <c r="L484" s="20"/>
      <c r="M484" s="19"/>
      <c r="N484" s="29"/>
      <c r="O484" s="19"/>
      <c r="P484" s="19"/>
      <c r="Q484" s="19"/>
      <c r="U484" s="20"/>
      <c r="V484" s="28"/>
    </row>
    <row r="485" spans="11:22" x14ac:dyDescent="0.45">
      <c r="K485" s="19"/>
      <c r="L485" s="20"/>
      <c r="M485" s="19"/>
      <c r="N485" s="29"/>
      <c r="O485" s="19"/>
      <c r="P485" s="19"/>
      <c r="Q485" s="19"/>
      <c r="U485" s="20"/>
      <c r="V485" s="28"/>
    </row>
    <row r="486" spans="11:22" x14ac:dyDescent="0.45">
      <c r="K486" s="19"/>
      <c r="L486" s="20"/>
      <c r="M486" s="19"/>
      <c r="N486" s="29"/>
      <c r="O486" s="19"/>
      <c r="P486" s="19"/>
      <c r="Q486" s="19"/>
      <c r="U486" s="20"/>
      <c r="V486" s="28"/>
    </row>
    <row r="487" spans="11:22" x14ac:dyDescent="0.45">
      <c r="K487" s="19"/>
      <c r="L487" s="20"/>
      <c r="M487" s="19"/>
      <c r="N487" s="29"/>
      <c r="O487" s="19"/>
      <c r="P487" s="19"/>
      <c r="Q487" s="19"/>
      <c r="U487" s="20"/>
      <c r="V487" s="28"/>
    </row>
    <row r="488" spans="11:22" x14ac:dyDescent="0.45">
      <c r="K488" s="19"/>
      <c r="L488" s="20"/>
      <c r="M488" s="19"/>
      <c r="N488" s="29"/>
      <c r="O488" s="19"/>
      <c r="P488" s="19"/>
      <c r="Q488" s="19"/>
      <c r="U488" s="20"/>
      <c r="V488" s="28"/>
    </row>
    <row r="489" spans="11:22" x14ac:dyDescent="0.45">
      <c r="K489" s="19"/>
      <c r="L489" s="20"/>
      <c r="M489" s="19"/>
      <c r="N489" s="29"/>
      <c r="O489" s="19"/>
      <c r="P489" s="19"/>
      <c r="Q489" s="19"/>
      <c r="U489" s="20"/>
      <c r="V489" s="28"/>
    </row>
    <row r="490" spans="11:22" x14ac:dyDescent="0.45">
      <c r="K490" s="19"/>
      <c r="L490" s="20"/>
      <c r="M490" s="19"/>
      <c r="N490" s="29"/>
      <c r="O490" s="19"/>
      <c r="P490" s="19"/>
      <c r="Q490" s="19"/>
      <c r="U490" s="20"/>
      <c r="V490" s="28"/>
    </row>
    <row r="491" spans="11:22" x14ac:dyDescent="0.45">
      <c r="K491" s="19"/>
      <c r="L491" s="20"/>
      <c r="M491" s="19"/>
      <c r="N491" s="29"/>
      <c r="O491" s="19"/>
      <c r="P491" s="19"/>
      <c r="Q491" s="19"/>
      <c r="U491" s="20"/>
      <c r="V491" s="28"/>
    </row>
    <row r="492" spans="11:22" x14ac:dyDescent="0.45">
      <c r="K492" s="19"/>
      <c r="L492" s="20"/>
      <c r="M492" s="19"/>
      <c r="N492" s="29"/>
      <c r="O492" s="19"/>
      <c r="P492" s="19"/>
      <c r="Q492" s="19"/>
      <c r="U492" s="20"/>
      <c r="V492" s="28"/>
    </row>
    <row r="493" spans="11:22" x14ac:dyDescent="0.45">
      <c r="K493" s="19"/>
      <c r="L493" s="20"/>
      <c r="M493" s="19"/>
      <c r="N493" s="29"/>
      <c r="O493" s="19"/>
      <c r="P493" s="19"/>
      <c r="Q493" s="19"/>
      <c r="U493" s="20"/>
      <c r="V493" s="28"/>
    </row>
    <row r="494" spans="11:22" x14ac:dyDescent="0.45">
      <c r="K494" s="19"/>
      <c r="L494" s="20"/>
      <c r="M494" s="19"/>
      <c r="N494" s="29"/>
      <c r="O494" s="19"/>
      <c r="P494" s="19"/>
      <c r="Q494" s="19"/>
      <c r="U494" s="20"/>
      <c r="V494" s="28"/>
    </row>
    <row r="495" spans="11:22" x14ac:dyDescent="0.45">
      <c r="K495" s="19"/>
      <c r="L495" s="20"/>
      <c r="M495" s="19"/>
      <c r="N495" s="29"/>
      <c r="O495" s="19"/>
      <c r="P495" s="19"/>
      <c r="Q495" s="19"/>
      <c r="U495" s="20"/>
      <c r="V495" s="28"/>
    </row>
    <row r="496" spans="11:22" x14ac:dyDescent="0.45">
      <c r="K496" s="19"/>
      <c r="L496" s="20"/>
      <c r="M496" s="19"/>
      <c r="N496" s="29"/>
      <c r="O496" s="19"/>
      <c r="P496" s="19"/>
      <c r="Q496" s="19"/>
      <c r="U496" s="20"/>
      <c r="V496" s="28"/>
    </row>
    <row r="497" spans="11:22" x14ac:dyDescent="0.45">
      <c r="K497" s="19"/>
      <c r="L497" s="20"/>
      <c r="M497" s="19"/>
      <c r="N497" s="29"/>
      <c r="O497" s="19"/>
      <c r="P497" s="19"/>
      <c r="Q497" s="19"/>
      <c r="U497" s="20"/>
      <c r="V497" s="28"/>
    </row>
    <row r="498" spans="11:22" x14ac:dyDescent="0.45">
      <c r="K498" s="19"/>
      <c r="L498" s="20"/>
      <c r="M498" s="19"/>
      <c r="N498" s="29"/>
      <c r="O498" s="19"/>
      <c r="P498" s="19"/>
      <c r="Q498" s="19"/>
      <c r="U498" s="20"/>
      <c r="V498" s="28"/>
    </row>
    <row r="499" spans="11:22" x14ac:dyDescent="0.45">
      <c r="K499" s="19"/>
      <c r="L499" s="20"/>
      <c r="M499" s="19"/>
      <c r="N499" s="29"/>
      <c r="O499" s="19"/>
      <c r="P499" s="19"/>
      <c r="Q499" s="19"/>
      <c r="U499" s="20"/>
      <c r="V499" s="28"/>
    </row>
    <row r="500" spans="11:22" x14ac:dyDescent="0.45">
      <c r="K500" s="19"/>
      <c r="L500" s="20"/>
      <c r="M500" s="19"/>
      <c r="N500" s="29"/>
      <c r="O500" s="19"/>
      <c r="P500" s="19"/>
      <c r="Q500" s="19"/>
      <c r="U500" s="20"/>
      <c r="V500" s="28"/>
    </row>
    <row r="501" spans="11:22" x14ac:dyDescent="0.45">
      <c r="K501" s="19"/>
      <c r="L501" s="20"/>
      <c r="M501" s="19"/>
      <c r="N501" s="29"/>
      <c r="O501" s="19"/>
      <c r="P501" s="19"/>
      <c r="Q501" s="19"/>
      <c r="U501" s="20"/>
      <c r="V501" s="28"/>
    </row>
    <row r="502" spans="11:22" x14ac:dyDescent="0.45">
      <c r="K502" s="19"/>
      <c r="L502" s="20"/>
      <c r="M502" s="19"/>
      <c r="N502" s="29"/>
      <c r="O502" s="19"/>
      <c r="P502" s="19"/>
      <c r="Q502" s="19"/>
      <c r="U502" s="20"/>
      <c r="V502" s="28"/>
    </row>
    <row r="503" spans="11:22" x14ac:dyDescent="0.45">
      <c r="K503" s="19"/>
      <c r="L503" s="20"/>
      <c r="M503" s="19"/>
      <c r="N503" s="29"/>
      <c r="O503" s="19"/>
      <c r="P503" s="19"/>
      <c r="Q503" s="19"/>
      <c r="U503" s="20"/>
      <c r="V503" s="28"/>
    </row>
    <row r="504" spans="11:22" x14ac:dyDescent="0.45">
      <c r="K504" s="19"/>
      <c r="L504" s="20"/>
      <c r="M504" s="19"/>
      <c r="N504" s="29"/>
      <c r="O504" s="19"/>
      <c r="P504" s="19"/>
      <c r="Q504" s="19"/>
      <c r="U504" s="20"/>
      <c r="V504" s="28"/>
    </row>
    <row r="505" spans="11:22" x14ac:dyDescent="0.45">
      <c r="K505" s="19"/>
      <c r="L505" s="20"/>
      <c r="M505" s="19"/>
      <c r="N505" s="29"/>
      <c r="O505" s="19"/>
      <c r="P505" s="19"/>
      <c r="Q505" s="19"/>
      <c r="U505" s="20"/>
      <c r="V505" s="28"/>
    </row>
    <row r="506" spans="11:22" x14ac:dyDescent="0.45">
      <c r="K506" s="19"/>
      <c r="L506" s="20"/>
      <c r="M506" s="19"/>
      <c r="N506" s="29"/>
      <c r="O506" s="19"/>
      <c r="P506" s="19"/>
      <c r="Q506" s="19"/>
      <c r="U506" s="20"/>
      <c r="V506" s="28"/>
    </row>
    <row r="507" spans="11:22" x14ac:dyDescent="0.45">
      <c r="K507" s="19"/>
      <c r="L507" s="20"/>
      <c r="M507" s="19"/>
      <c r="N507" s="29"/>
      <c r="O507" s="19"/>
      <c r="P507" s="19"/>
      <c r="Q507" s="19"/>
      <c r="U507" s="20"/>
      <c r="V507" s="28"/>
    </row>
    <row r="508" spans="11:22" x14ac:dyDescent="0.45">
      <c r="K508" s="19"/>
      <c r="L508" s="20"/>
      <c r="M508" s="19"/>
      <c r="N508" s="29"/>
      <c r="O508" s="19"/>
      <c r="P508" s="19"/>
      <c r="Q508" s="19"/>
      <c r="U508" s="20"/>
      <c r="V508" s="28"/>
    </row>
    <row r="509" spans="11:22" x14ac:dyDescent="0.45">
      <c r="K509" s="19"/>
      <c r="L509" s="20"/>
      <c r="M509" s="19"/>
      <c r="N509" s="29"/>
      <c r="O509" s="19"/>
      <c r="P509" s="19"/>
      <c r="Q509" s="19"/>
      <c r="U509" s="20"/>
      <c r="V509" s="28"/>
    </row>
    <row r="510" spans="11:22" x14ac:dyDescent="0.45">
      <c r="K510" s="19"/>
      <c r="L510" s="20"/>
      <c r="M510" s="19"/>
      <c r="N510" s="29"/>
      <c r="O510" s="19"/>
      <c r="P510" s="19"/>
      <c r="Q510" s="19"/>
      <c r="U510" s="20"/>
      <c r="V510" s="28"/>
    </row>
    <row r="511" spans="11:22" x14ac:dyDescent="0.45">
      <c r="K511" s="19"/>
      <c r="L511" s="20"/>
      <c r="M511" s="19"/>
      <c r="N511" s="29"/>
      <c r="O511" s="19"/>
      <c r="P511" s="19"/>
      <c r="Q511" s="19"/>
      <c r="U511" s="20"/>
      <c r="V511" s="28"/>
    </row>
    <row r="512" spans="11:22" x14ac:dyDescent="0.45">
      <c r="K512" s="19"/>
      <c r="L512" s="20"/>
      <c r="M512" s="19"/>
      <c r="N512" s="29"/>
      <c r="O512" s="19"/>
      <c r="P512" s="19"/>
      <c r="Q512" s="19"/>
      <c r="U512" s="20"/>
      <c r="V512" s="28"/>
    </row>
    <row r="513" spans="11:22" x14ac:dyDescent="0.45">
      <c r="K513" s="19"/>
      <c r="L513" s="20"/>
      <c r="M513" s="19"/>
      <c r="N513" s="29"/>
      <c r="O513" s="19"/>
      <c r="P513" s="19"/>
      <c r="Q513" s="19"/>
      <c r="U513" s="20"/>
      <c r="V513" s="28"/>
    </row>
    <row r="514" spans="11:22" x14ac:dyDescent="0.45">
      <c r="K514" s="19"/>
      <c r="L514" s="20"/>
      <c r="M514" s="19"/>
      <c r="N514" s="29"/>
      <c r="O514" s="19"/>
      <c r="P514" s="19"/>
      <c r="Q514" s="19"/>
      <c r="U514" s="20"/>
      <c r="V514" s="28"/>
    </row>
    <row r="515" spans="11:22" x14ac:dyDescent="0.45">
      <c r="K515" s="19"/>
      <c r="L515" s="20"/>
      <c r="M515" s="19"/>
      <c r="N515" s="29"/>
      <c r="O515" s="19"/>
      <c r="P515" s="19"/>
      <c r="Q515" s="19"/>
      <c r="U515" s="20"/>
      <c r="V515" s="28"/>
    </row>
    <row r="516" spans="11:22" x14ac:dyDescent="0.45">
      <c r="K516" s="19"/>
      <c r="L516" s="20"/>
      <c r="M516" s="19"/>
      <c r="N516" s="29"/>
      <c r="O516" s="19"/>
      <c r="P516" s="19"/>
      <c r="Q516" s="19"/>
      <c r="U516" s="20"/>
      <c r="V516" s="28"/>
    </row>
    <row r="517" spans="11:22" x14ac:dyDescent="0.45">
      <c r="K517" s="19"/>
      <c r="L517" s="20"/>
      <c r="M517" s="19"/>
      <c r="N517" s="29"/>
      <c r="O517" s="19"/>
      <c r="P517" s="19"/>
      <c r="Q517" s="19"/>
      <c r="U517" s="20"/>
      <c r="V517" s="28"/>
    </row>
    <row r="518" spans="11:22" x14ac:dyDescent="0.45">
      <c r="K518" s="19"/>
      <c r="L518" s="20"/>
      <c r="M518" s="19"/>
      <c r="N518" s="29"/>
      <c r="O518" s="19"/>
      <c r="P518" s="19"/>
      <c r="Q518" s="19"/>
      <c r="U518" s="20"/>
      <c r="V518" s="28"/>
    </row>
    <row r="519" spans="11:22" x14ac:dyDescent="0.45">
      <c r="K519" s="19"/>
      <c r="L519" s="20"/>
      <c r="M519" s="19"/>
      <c r="N519" s="29"/>
      <c r="O519" s="19"/>
      <c r="P519" s="19"/>
      <c r="Q519" s="19"/>
      <c r="U519" s="20"/>
      <c r="V519" s="28"/>
    </row>
    <row r="520" spans="11:22" x14ac:dyDescent="0.45">
      <c r="K520" s="19"/>
      <c r="L520" s="20"/>
      <c r="M520" s="19"/>
      <c r="N520" s="29"/>
      <c r="O520" s="19"/>
      <c r="P520" s="19"/>
      <c r="Q520" s="19"/>
      <c r="U520" s="20"/>
      <c r="V520" s="28"/>
    </row>
    <row r="521" spans="11:22" x14ac:dyDescent="0.45">
      <c r="K521" s="19"/>
      <c r="L521" s="20"/>
      <c r="M521" s="19"/>
      <c r="N521" s="29"/>
      <c r="O521" s="19"/>
      <c r="P521" s="19"/>
      <c r="Q521" s="19"/>
      <c r="U521" s="20"/>
      <c r="V521" s="28"/>
    </row>
    <row r="522" spans="11:22" x14ac:dyDescent="0.45">
      <c r="K522" s="19"/>
      <c r="L522" s="20"/>
      <c r="M522" s="19"/>
      <c r="N522" s="29"/>
      <c r="O522" s="19"/>
      <c r="P522" s="19"/>
      <c r="Q522" s="19"/>
      <c r="U522" s="20"/>
      <c r="V522" s="28"/>
    </row>
    <row r="523" spans="11:22" x14ac:dyDescent="0.45">
      <c r="K523" s="19"/>
      <c r="L523" s="20"/>
      <c r="M523" s="19"/>
      <c r="N523" s="29"/>
      <c r="O523" s="19"/>
      <c r="P523" s="19"/>
      <c r="Q523" s="19"/>
      <c r="U523" s="20"/>
      <c r="V523" s="28"/>
    </row>
    <row r="524" spans="11:22" x14ac:dyDescent="0.45">
      <c r="K524" s="19"/>
      <c r="L524" s="20"/>
      <c r="M524" s="19"/>
      <c r="N524" s="29"/>
      <c r="O524" s="19"/>
      <c r="P524" s="19"/>
      <c r="Q524" s="19"/>
      <c r="U524" s="20"/>
      <c r="V524" s="28"/>
    </row>
    <row r="525" spans="11:22" x14ac:dyDescent="0.45">
      <c r="K525" s="19"/>
      <c r="L525" s="20"/>
      <c r="M525" s="19"/>
      <c r="N525" s="29"/>
      <c r="O525" s="19"/>
      <c r="P525" s="19"/>
      <c r="Q525" s="19"/>
      <c r="U525" s="20"/>
      <c r="V525" s="28"/>
    </row>
    <row r="526" spans="11:22" x14ac:dyDescent="0.45">
      <c r="K526" s="19"/>
      <c r="L526" s="20"/>
      <c r="M526" s="19"/>
      <c r="N526" s="29"/>
      <c r="O526" s="19"/>
      <c r="P526" s="19"/>
      <c r="Q526" s="19"/>
      <c r="U526" s="20"/>
      <c r="V526" s="28"/>
    </row>
    <row r="527" spans="11:22" x14ac:dyDescent="0.45">
      <c r="K527" s="19"/>
      <c r="L527" s="20"/>
      <c r="M527" s="19"/>
      <c r="N527" s="29"/>
      <c r="O527" s="19"/>
      <c r="P527" s="19"/>
      <c r="Q527" s="19"/>
      <c r="U527" s="20"/>
      <c r="V527" s="28"/>
    </row>
    <row r="528" spans="11:22" x14ac:dyDescent="0.45">
      <c r="K528" s="19"/>
      <c r="L528" s="20"/>
      <c r="M528" s="19"/>
      <c r="N528" s="29"/>
      <c r="O528" s="19"/>
      <c r="P528" s="19"/>
      <c r="Q528" s="19"/>
      <c r="U528" s="20"/>
      <c r="V528" s="28"/>
    </row>
    <row r="529" spans="11:22" x14ac:dyDescent="0.45">
      <c r="K529" s="19"/>
      <c r="L529" s="20"/>
      <c r="M529" s="19"/>
      <c r="N529" s="29"/>
      <c r="O529" s="19"/>
      <c r="P529" s="19"/>
      <c r="Q529" s="19"/>
      <c r="U529" s="20"/>
      <c r="V529" s="28"/>
    </row>
    <row r="530" spans="11:22" x14ac:dyDescent="0.45">
      <c r="K530" s="19"/>
      <c r="L530" s="20"/>
      <c r="M530" s="19"/>
      <c r="N530" s="29"/>
      <c r="O530" s="19"/>
      <c r="P530" s="19"/>
      <c r="Q530" s="19"/>
      <c r="U530" s="20"/>
      <c r="V530" s="28"/>
    </row>
    <row r="531" spans="11:22" x14ac:dyDescent="0.45">
      <c r="K531" s="19"/>
      <c r="L531" s="20"/>
      <c r="M531" s="19"/>
      <c r="N531" s="29"/>
      <c r="O531" s="19"/>
      <c r="P531" s="19"/>
      <c r="Q531" s="19"/>
      <c r="U531" s="20"/>
      <c r="V531" s="28"/>
    </row>
    <row r="532" spans="11:22" x14ac:dyDescent="0.45">
      <c r="K532" s="19"/>
      <c r="L532" s="20"/>
      <c r="M532" s="19"/>
      <c r="N532" s="29"/>
      <c r="O532" s="19"/>
      <c r="P532" s="19"/>
      <c r="Q532" s="19"/>
      <c r="U532" s="20"/>
      <c r="V532" s="28"/>
    </row>
    <row r="533" spans="11:22" x14ac:dyDescent="0.45">
      <c r="K533" s="19"/>
      <c r="L533" s="20"/>
      <c r="M533" s="19"/>
      <c r="N533" s="29"/>
      <c r="O533" s="19"/>
      <c r="P533" s="19"/>
      <c r="Q533" s="19"/>
      <c r="U533" s="20"/>
      <c r="V533" s="28"/>
    </row>
    <row r="534" spans="11:22" x14ac:dyDescent="0.45">
      <c r="K534" s="19"/>
      <c r="L534" s="20"/>
      <c r="M534" s="19"/>
      <c r="N534" s="29"/>
      <c r="O534" s="19"/>
      <c r="P534" s="19"/>
      <c r="Q534" s="19"/>
      <c r="U534" s="20"/>
      <c r="V534" s="28"/>
    </row>
    <row r="535" spans="11:22" x14ac:dyDescent="0.45">
      <c r="K535" s="19"/>
      <c r="L535" s="20"/>
      <c r="M535" s="19"/>
      <c r="N535" s="29"/>
      <c r="O535" s="19"/>
      <c r="P535" s="19"/>
      <c r="Q535" s="19"/>
      <c r="U535" s="20"/>
      <c r="V535" s="28"/>
    </row>
    <row r="536" spans="11:22" x14ac:dyDescent="0.45">
      <c r="K536" s="19"/>
      <c r="L536" s="20"/>
      <c r="M536" s="19"/>
      <c r="N536" s="29"/>
      <c r="O536" s="19"/>
      <c r="P536" s="19"/>
      <c r="Q536" s="19"/>
      <c r="U536" s="20"/>
      <c r="V536" s="28"/>
    </row>
    <row r="537" spans="11:22" x14ac:dyDescent="0.45">
      <c r="K537" s="19"/>
      <c r="L537" s="20"/>
      <c r="M537" s="19"/>
      <c r="N537" s="29"/>
      <c r="O537" s="19"/>
      <c r="P537" s="19"/>
      <c r="Q537" s="19"/>
      <c r="U537" s="20"/>
      <c r="V537" s="28"/>
    </row>
    <row r="538" spans="11:22" x14ac:dyDescent="0.45">
      <c r="K538" s="19"/>
      <c r="L538" s="20"/>
      <c r="M538" s="19"/>
      <c r="N538" s="29"/>
      <c r="O538" s="19"/>
      <c r="P538" s="19"/>
      <c r="Q538" s="19"/>
      <c r="U538" s="20"/>
      <c r="V538" s="28"/>
    </row>
    <row r="539" spans="11:22" x14ac:dyDescent="0.45">
      <c r="K539" s="19"/>
      <c r="L539" s="20"/>
      <c r="M539" s="19"/>
      <c r="N539" s="29"/>
      <c r="O539" s="19"/>
      <c r="P539" s="19"/>
      <c r="Q539" s="19"/>
      <c r="U539" s="20"/>
      <c r="V539" s="28"/>
    </row>
    <row r="540" spans="11:22" x14ac:dyDescent="0.45">
      <c r="K540" s="19"/>
      <c r="L540" s="20"/>
      <c r="M540" s="19"/>
      <c r="N540" s="29"/>
      <c r="O540" s="19"/>
      <c r="P540" s="19"/>
      <c r="Q540" s="19"/>
      <c r="U540" s="20"/>
      <c r="V540" s="28"/>
    </row>
    <row r="541" spans="11:22" x14ac:dyDescent="0.45">
      <c r="K541" s="19"/>
      <c r="L541" s="20"/>
      <c r="M541" s="19"/>
      <c r="N541" s="29"/>
      <c r="O541" s="19"/>
      <c r="P541" s="19"/>
      <c r="Q541" s="19"/>
      <c r="U541" s="20"/>
      <c r="V541" s="28"/>
    </row>
    <row r="542" spans="11:22" x14ac:dyDescent="0.45">
      <c r="K542" s="19"/>
      <c r="L542" s="20"/>
      <c r="M542" s="19"/>
      <c r="N542" s="29"/>
      <c r="O542" s="19"/>
      <c r="P542" s="19"/>
      <c r="Q542" s="19"/>
      <c r="U542" s="20"/>
      <c r="V542" s="28"/>
    </row>
    <row r="543" spans="11:22" x14ac:dyDescent="0.45">
      <c r="K543" s="19"/>
      <c r="L543" s="20"/>
      <c r="M543" s="19"/>
      <c r="N543" s="29"/>
      <c r="O543" s="19"/>
      <c r="P543" s="19"/>
      <c r="Q543" s="19"/>
      <c r="U543" s="20"/>
      <c r="V543" s="28"/>
    </row>
    <row r="544" spans="11:22" x14ac:dyDescent="0.45">
      <c r="K544" s="19"/>
      <c r="L544" s="20"/>
      <c r="M544" s="19"/>
      <c r="N544" s="29"/>
      <c r="O544" s="19"/>
      <c r="P544" s="19"/>
      <c r="Q544" s="19"/>
      <c r="U544" s="20"/>
      <c r="V544" s="28"/>
    </row>
    <row r="545" spans="11:22" x14ac:dyDescent="0.45">
      <c r="K545" s="19"/>
      <c r="L545" s="20"/>
      <c r="M545" s="19"/>
      <c r="N545" s="29"/>
      <c r="O545" s="19"/>
      <c r="P545" s="19"/>
      <c r="Q545" s="19"/>
      <c r="U545" s="20"/>
      <c r="V545" s="28"/>
    </row>
    <row r="546" spans="11:22" x14ac:dyDescent="0.45">
      <c r="K546" s="19"/>
      <c r="L546" s="20"/>
      <c r="M546" s="19"/>
      <c r="N546" s="29"/>
      <c r="O546" s="19"/>
      <c r="P546" s="19"/>
      <c r="Q546" s="19"/>
      <c r="U546" s="20"/>
      <c r="V546" s="28"/>
    </row>
    <row r="547" spans="11:22" x14ac:dyDescent="0.45">
      <c r="K547" s="19"/>
      <c r="L547" s="20"/>
      <c r="M547" s="19"/>
      <c r="N547" s="29"/>
      <c r="O547" s="19"/>
      <c r="P547" s="19"/>
      <c r="Q547" s="19"/>
      <c r="U547" s="20"/>
      <c r="V547" s="28"/>
    </row>
    <row r="548" spans="11:22" x14ac:dyDescent="0.45">
      <c r="K548" s="19"/>
      <c r="L548" s="20"/>
      <c r="M548" s="19"/>
      <c r="N548" s="29"/>
      <c r="O548" s="19"/>
      <c r="P548" s="19"/>
      <c r="Q548" s="19"/>
      <c r="U548" s="20"/>
      <c r="V548" s="28"/>
    </row>
    <row r="549" spans="11:22" x14ac:dyDescent="0.45">
      <c r="K549" s="19"/>
      <c r="L549" s="20"/>
      <c r="M549" s="19"/>
      <c r="N549" s="29"/>
      <c r="O549" s="19"/>
      <c r="P549" s="19"/>
      <c r="Q549" s="19"/>
      <c r="U549" s="20"/>
      <c r="V549" s="28"/>
    </row>
    <row r="550" spans="11:22" x14ac:dyDescent="0.45">
      <c r="K550" s="19"/>
      <c r="L550" s="20"/>
      <c r="M550" s="19"/>
      <c r="N550" s="29"/>
      <c r="O550" s="19"/>
      <c r="P550" s="19"/>
      <c r="Q550" s="19"/>
      <c r="U550" s="20"/>
      <c r="V550" s="28"/>
    </row>
    <row r="551" spans="11:22" x14ac:dyDescent="0.45">
      <c r="K551" s="19"/>
      <c r="L551" s="20"/>
      <c r="M551" s="19"/>
      <c r="N551" s="29"/>
      <c r="O551" s="19"/>
      <c r="P551" s="19"/>
      <c r="Q551" s="19"/>
      <c r="U551" s="20"/>
      <c r="V551" s="28"/>
    </row>
    <row r="552" spans="11:22" x14ac:dyDescent="0.45">
      <c r="K552" s="19"/>
      <c r="L552" s="20"/>
      <c r="M552" s="19"/>
      <c r="N552" s="29"/>
      <c r="O552" s="19"/>
      <c r="P552" s="19"/>
      <c r="Q552" s="19"/>
      <c r="U552" s="20"/>
      <c r="V552" s="28"/>
    </row>
    <row r="553" spans="11:22" x14ac:dyDescent="0.45">
      <c r="K553" s="19"/>
      <c r="L553" s="20"/>
      <c r="M553" s="19"/>
      <c r="N553" s="29"/>
      <c r="O553" s="19"/>
      <c r="P553" s="19"/>
      <c r="Q553" s="19"/>
      <c r="U553" s="20"/>
      <c r="V553" s="28"/>
    </row>
    <row r="554" spans="11:22" x14ac:dyDescent="0.45">
      <c r="K554" s="19"/>
      <c r="L554" s="20"/>
      <c r="M554" s="19"/>
      <c r="N554" s="29"/>
      <c r="O554" s="19"/>
      <c r="P554" s="19"/>
      <c r="Q554" s="19"/>
      <c r="U554" s="20"/>
      <c r="V554" s="28"/>
    </row>
    <row r="555" spans="11:22" x14ac:dyDescent="0.45">
      <c r="K555" s="19"/>
      <c r="L555" s="20"/>
      <c r="M555" s="19"/>
      <c r="N555" s="29"/>
      <c r="O555" s="19"/>
      <c r="P555" s="19"/>
      <c r="Q555" s="19"/>
      <c r="U555" s="20"/>
      <c r="V555" s="28"/>
    </row>
    <row r="556" spans="11:22" x14ac:dyDescent="0.45">
      <c r="K556" s="19"/>
      <c r="L556" s="20"/>
      <c r="M556" s="19"/>
      <c r="N556" s="29"/>
      <c r="O556" s="19"/>
      <c r="P556" s="19"/>
      <c r="Q556" s="19"/>
      <c r="U556" s="20"/>
      <c r="V556" s="28"/>
    </row>
    <row r="557" spans="11:22" x14ac:dyDescent="0.45">
      <c r="K557" s="19"/>
      <c r="L557" s="20"/>
      <c r="M557" s="19"/>
      <c r="N557" s="29"/>
      <c r="O557" s="19"/>
      <c r="P557" s="19"/>
      <c r="Q557" s="19"/>
      <c r="U557" s="20"/>
      <c r="V557" s="28"/>
    </row>
    <row r="558" spans="11:22" x14ac:dyDescent="0.45">
      <c r="K558" s="19"/>
      <c r="L558" s="20"/>
      <c r="M558" s="19"/>
      <c r="N558" s="29"/>
      <c r="O558" s="19"/>
      <c r="P558" s="19"/>
      <c r="Q558" s="19"/>
      <c r="U558" s="20"/>
      <c r="V558" s="28"/>
    </row>
    <row r="559" spans="11:22" x14ac:dyDescent="0.45">
      <c r="K559" s="19"/>
      <c r="L559" s="20"/>
      <c r="M559" s="19"/>
      <c r="N559" s="29"/>
      <c r="O559" s="19"/>
      <c r="P559" s="19"/>
      <c r="Q559" s="19"/>
      <c r="U559" s="20"/>
      <c r="V559" s="28"/>
    </row>
    <row r="560" spans="11:22" x14ac:dyDescent="0.45">
      <c r="K560" s="19"/>
      <c r="L560" s="20"/>
      <c r="M560" s="19"/>
      <c r="N560" s="29"/>
      <c r="O560" s="19"/>
      <c r="P560" s="19"/>
      <c r="Q560" s="19"/>
      <c r="U560" s="20"/>
      <c r="V560" s="28"/>
    </row>
    <row r="561" spans="11:22" x14ac:dyDescent="0.45">
      <c r="K561" s="19"/>
      <c r="L561" s="20"/>
      <c r="M561" s="19"/>
      <c r="N561" s="29"/>
      <c r="O561" s="19"/>
      <c r="P561" s="19"/>
      <c r="Q561" s="19"/>
      <c r="U561" s="20"/>
      <c r="V561" s="28"/>
    </row>
    <row r="562" spans="11:22" x14ac:dyDescent="0.45">
      <c r="K562" s="19"/>
      <c r="L562" s="20"/>
      <c r="M562" s="19"/>
      <c r="N562" s="29"/>
      <c r="O562" s="19"/>
      <c r="P562" s="19"/>
      <c r="Q562" s="19"/>
      <c r="U562" s="20"/>
      <c r="V562" s="28"/>
    </row>
    <row r="563" spans="11:22" x14ac:dyDescent="0.45">
      <c r="K563" s="19"/>
      <c r="L563" s="20"/>
      <c r="M563" s="19"/>
      <c r="N563" s="29"/>
      <c r="O563" s="19"/>
      <c r="P563" s="19"/>
      <c r="Q563" s="19"/>
      <c r="U563" s="20"/>
      <c r="V563" s="28"/>
    </row>
    <row r="564" spans="11:22" x14ac:dyDescent="0.45">
      <c r="K564" s="19"/>
      <c r="L564" s="20"/>
      <c r="M564" s="19"/>
      <c r="N564" s="29"/>
      <c r="O564" s="19"/>
      <c r="P564" s="19"/>
      <c r="Q564" s="19"/>
      <c r="U564" s="20"/>
      <c r="V564" s="28"/>
    </row>
    <row r="565" spans="11:22" x14ac:dyDescent="0.45">
      <c r="K565" s="19"/>
      <c r="L565" s="20"/>
      <c r="M565" s="19"/>
      <c r="N565" s="29"/>
      <c r="O565" s="19"/>
      <c r="P565" s="19"/>
      <c r="Q565" s="19"/>
      <c r="U565" s="20"/>
      <c r="V565" s="28"/>
    </row>
    <row r="566" spans="11:22" x14ac:dyDescent="0.45">
      <c r="K566" s="19"/>
      <c r="L566" s="20"/>
      <c r="M566" s="19"/>
      <c r="N566" s="29"/>
      <c r="O566" s="19"/>
      <c r="P566" s="19"/>
      <c r="Q566" s="19"/>
      <c r="U566" s="20"/>
      <c r="V566" s="28"/>
    </row>
    <row r="567" spans="11:22" x14ac:dyDescent="0.45">
      <c r="K567" s="19"/>
      <c r="L567" s="20"/>
      <c r="M567" s="19"/>
      <c r="N567" s="29"/>
      <c r="O567" s="19"/>
      <c r="P567" s="19"/>
      <c r="Q567" s="19"/>
      <c r="U567" s="20"/>
      <c r="V567" s="28"/>
    </row>
    <row r="568" spans="11:22" x14ac:dyDescent="0.45">
      <c r="K568" s="19"/>
      <c r="L568" s="20"/>
      <c r="M568" s="19"/>
      <c r="N568" s="29"/>
      <c r="O568" s="19"/>
      <c r="P568" s="19"/>
      <c r="Q568" s="19"/>
      <c r="U568" s="20"/>
      <c r="V568" s="28"/>
    </row>
    <row r="569" spans="11:22" x14ac:dyDescent="0.45">
      <c r="K569" s="19"/>
      <c r="L569" s="20"/>
      <c r="M569" s="19"/>
      <c r="N569" s="29"/>
      <c r="O569" s="19"/>
      <c r="P569" s="19"/>
      <c r="Q569" s="19"/>
      <c r="U569" s="20"/>
      <c r="V569" s="28"/>
    </row>
    <row r="570" spans="11:22" x14ac:dyDescent="0.45">
      <c r="K570" s="19"/>
      <c r="L570" s="20"/>
      <c r="M570" s="19"/>
      <c r="N570" s="29"/>
      <c r="O570" s="19"/>
      <c r="P570" s="19"/>
      <c r="Q570" s="19"/>
      <c r="U570" s="20"/>
      <c r="V570" s="28"/>
    </row>
    <row r="571" spans="11:22" x14ac:dyDescent="0.45">
      <c r="K571" s="19"/>
      <c r="L571" s="20"/>
      <c r="M571" s="19"/>
      <c r="N571" s="29"/>
      <c r="O571" s="19"/>
      <c r="P571" s="19"/>
      <c r="Q571" s="19"/>
      <c r="U571" s="20"/>
      <c r="V571" s="28"/>
    </row>
    <row r="572" spans="11:22" x14ac:dyDescent="0.45">
      <c r="K572" s="19"/>
      <c r="L572" s="20"/>
      <c r="M572" s="19"/>
      <c r="N572" s="29"/>
      <c r="O572" s="19"/>
      <c r="P572" s="19"/>
      <c r="Q572" s="19"/>
      <c r="U572" s="20"/>
      <c r="V572" s="28"/>
    </row>
    <row r="573" spans="11:22" x14ac:dyDescent="0.45">
      <c r="K573" s="19"/>
      <c r="L573" s="20"/>
      <c r="M573" s="19"/>
      <c r="N573" s="29"/>
      <c r="O573" s="19"/>
      <c r="P573" s="19"/>
      <c r="Q573" s="19"/>
      <c r="U573" s="20"/>
      <c r="V573" s="28"/>
    </row>
    <row r="574" spans="11:22" x14ac:dyDescent="0.45">
      <c r="K574" s="19"/>
      <c r="L574" s="20"/>
      <c r="M574" s="19"/>
      <c r="N574" s="29"/>
      <c r="O574" s="19"/>
      <c r="P574" s="19"/>
      <c r="Q574" s="19"/>
      <c r="U574" s="20"/>
      <c r="V574" s="28"/>
    </row>
    <row r="575" spans="11:22" x14ac:dyDescent="0.45">
      <c r="K575" s="19"/>
      <c r="L575" s="20"/>
      <c r="M575" s="19"/>
      <c r="N575" s="29"/>
      <c r="O575" s="19"/>
      <c r="P575" s="19"/>
      <c r="Q575" s="19"/>
      <c r="U575" s="20"/>
      <c r="V575" s="28"/>
    </row>
    <row r="576" spans="11:22" x14ac:dyDescent="0.45">
      <c r="K576" s="19"/>
      <c r="L576" s="20"/>
      <c r="M576" s="19"/>
      <c r="N576" s="29"/>
      <c r="O576" s="19"/>
      <c r="P576" s="19"/>
      <c r="Q576" s="19"/>
      <c r="U576" s="20"/>
      <c r="V576" s="28"/>
    </row>
    <row r="577" spans="11:22" x14ac:dyDescent="0.45">
      <c r="K577" s="19"/>
      <c r="L577" s="20"/>
      <c r="M577" s="19"/>
      <c r="N577" s="29"/>
      <c r="O577" s="19"/>
      <c r="P577" s="19"/>
      <c r="Q577" s="19"/>
      <c r="U577" s="20"/>
      <c r="V577" s="28"/>
    </row>
    <row r="578" spans="11:22" x14ac:dyDescent="0.45">
      <c r="K578" s="19"/>
      <c r="L578" s="20"/>
      <c r="M578" s="19"/>
      <c r="N578" s="29"/>
      <c r="O578" s="19"/>
      <c r="P578" s="19"/>
      <c r="Q578" s="19"/>
      <c r="U578" s="20"/>
      <c r="V578" s="28"/>
    </row>
    <row r="579" spans="11:22" x14ac:dyDescent="0.45">
      <c r="K579" s="19"/>
      <c r="L579" s="20"/>
      <c r="M579" s="19"/>
      <c r="N579" s="29"/>
      <c r="O579" s="19"/>
      <c r="P579" s="19"/>
      <c r="Q579" s="19"/>
      <c r="U579" s="20"/>
      <c r="V579" s="28"/>
    </row>
    <row r="580" spans="11:22" x14ac:dyDescent="0.45">
      <c r="K580" s="19"/>
      <c r="L580" s="20"/>
      <c r="M580" s="19"/>
      <c r="N580" s="29"/>
      <c r="O580" s="19"/>
      <c r="P580" s="19"/>
      <c r="Q580" s="19"/>
      <c r="U580" s="20"/>
      <c r="V580" s="28"/>
    </row>
    <row r="581" spans="11:22" x14ac:dyDescent="0.45">
      <c r="K581" s="19"/>
      <c r="L581" s="20"/>
      <c r="M581" s="19"/>
      <c r="N581" s="29"/>
      <c r="O581" s="19"/>
      <c r="P581" s="19"/>
      <c r="Q581" s="19"/>
      <c r="U581" s="20"/>
      <c r="V581" s="28"/>
    </row>
    <row r="582" spans="11:22" x14ac:dyDescent="0.45">
      <c r="K582" s="19"/>
      <c r="L582" s="20"/>
      <c r="M582" s="19"/>
      <c r="N582" s="29"/>
      <c r="O582" s="19"/>
      <c r="P582" s="19"/>
      <c r="Q582" s="19"/>
      <c r="U582" s="20"/>
      <c r="V582" s="28"/>
    </row>
    <row r="583" spans="11:22" x14ac:dyDescent="0.45">
      <c r="K583" s="19"/>
      <c r="L583" s="20"/>
      <c r="M583" s="19"/>
      <c r="N583" s="29"/>
      <c r="O583" s="19"/>
      <c r="P583" s="19"/>
      <c r="Q583" s="19"/>
      <c r="U583" s="20"/>
      <c r="V583" s="28"/>
    </row>
    <row r="584" spans="11:22" x14ac:dyDescent="0.45">
      <c r="K584" s="19"/>
      <c r="L584" s="20"/>
      <c r="M584" s="19"/>
      <c r="N584" s="29"/>
      <c r="O584" s="19"/>
      <c r="P584" s="19"/>
      <c r="Q584" s="19"/>
      <c r="U584" s="20"/>
      <c r="V584" s="28"/>
    </row>
    <row r="585" spans="11:22" x14ac:dyDescent="0.45">
      <c r="K585" s="19"/>
      <c r="L585" s="20"/>
      <c r="M585" s="19"/>
      <c r="N585" s="29"/>
      <c r="O585" s="19"/>
      <c r="P585" s="19"/>
      <c r="Q585" s="19"/>
      <c r="U585" s="20"/>
      <c r="V585" s="28"/>
    </row>
    <row r="586" spans="11:22" x14ac:dyDescent="0.45">
      <c r="K586" s="19"/>
      <c r="L586" s="20"/>
      <c r="M586" s="19"/>
      <c r="N586" s="29"/>
      <c r="O586" s="19"/>
      <c r="P586" s="19"/>
      <c r="Q586" s="19"/>
      <c r="U586" s="20"/>
      <c r="V586" s="28"/>
    </row>
    <row r="587" spans="11:22" x14ac:dyDescent="0.45">
      <c r="K587" s="19"/>
      <c r="L587" s="20"/>
      <c r="M587" s="19"/>
      <c r="N587" s="29"/>
      <c r="O587" s="19"/>
      <c r="P587" s="19"/>
      <c r="Q587" s="19"/>
      <c r="U587" s="20"/>
      <c r="V587" s="28"/>
    </row>
    <row r="588" spans="11:22" x14ac:dyDescent="0.45">
      <c r="K588" s="19"/>
      <c r="L588" s="20"/>
      <c r="M588" s="19"/>
      <c r="N588" s="29"/>
      <c r="O588" s="19"/>
      <c r="P588" s="19"/>
      <c r="Q588" s="19"/>
      <c r="U588" s="20"/>
      <c r="V588" s="28"/>
    </row>
    <row r="589" spans="11:22" x14ac:dyDescent="0.45">
      <c r="K589" s="19"/>
      <c r="L589" s="20"/>
      <c r="M589" s="19"/>
      <c r="N589" s="29"/>
      <c r="O589" s="19"/>
      <c r="P589" s="19"/>
      <c r="Q589" s="19"/>
      <c r="U589" s="20"/>
      <c r="V589" s="28"/>
    </row>
    <row r="590" spans="11:22" x14ac:dyDescent="0.45">
      <c r="K590" s="19"/>
      <c r="L590" s="20"/>
      <c r="M590" s="19"/>
      <c r="N590" s="29"/>
      <c r="O590" s="19"/>
      <c r="P590" s="19"/>
      <c r="Q590" s="19"/>
      <c r="U590" s="20"/>
      <c r="V590" s="28"/>
    </row>
    <row r="591" spans="11:22" x14ac:dyDescent="0.45">
      <c r="K591" s="19"/>
      <c r="L591" s="20"/>
      <c r="M591" s="19"/>
      <c r="N591" s="29"/>
      <c r="O591" s="19"/>
      <c r="P591" s="19"/>
      <c r="Q591" s="19"/>
      <c r="U591" s="20"/>
      <c r="V591" s="28"/>
    </row>
    <row r="592" spans="11:22" x14ac:dyDescent="0.45">
      <c r="K592" s="19"/>
      <c r="L592" s="20"/>
      <c r="M592" s="19"/>
      <c r="N592" s="29"/>
      <c r="O592" s="19"/>
      <c r="P592" s="19"/>
      <c r="Q592" s="19"/>
      <c r="U592" s="20"/>
      <c r="V592" s="28"/>
    </row>
    <row r="593" spans="11:22" x14ac:dyDescent="0.45">
      <c r="K593" s="19"/>
      <c r="L593" s="20"/>
      <c r="M593" s="19"/>
      <c r="N593" s="29"/>
      <c r="O593" s="19"/>
      <c r="P593" s="19"/>
      <c r="Q593" s="19"/>
      <c r="U593" s="20"/>
      <c r="V593" s="28"/>
    </row>
    <row r="594" spans="11:22" x14ac:dyDescent="0.45">
      <c r="K594" s="19"/>
      <c r="L594" s="20"/>
      <c r="M594" s="19"/>
      <c r="N594" s="29"/>
      <c r="O594" s="19"/>
      <c r="P594" s="19"/>
      <c r="Q594" s="19"/>
      <c r="U594" s="20"/>
      <c r="V594" s="28"/>
    </row>
    <row r="595" spans="11:22" x14ac:dyDescent="0.45">
      <c r="K595" s="19"/>
      <c r="L595" s="20"/>
      <c r="M595" s="19"/>
      <c r="N595" s="29"/>
      <c r="O595" s="19"/>
      <c r="P595" s="19"/>
      <c r="Q595" s="19"/>
      <c r="U595" s="20"/>
      <c r="V595" s="28"/>
    </row>
    <row r="596" spans="11:22" x14ac:dyDescent="0.45">
      <c r="K596" s="19"/>
      <c r="L596" s="20"/>
      <c r="M596" s="19"/>
      <c r="N596" s="29"/>
      <c r="O596" s="19"/>
      <c r="P596" s="19"/>
      <c r="Q596" s="19"/>
      <c r="U596" s="20"/>
      <c r="V596" s="28"/>
    </row>
    <row r="597" spans="11:22" x14ac:dyDescent="0.45">
      <c r="K597" s="19"/>
      <c r="L597" s="20"/>
      <c r="M597" s="19"/>
      <c r="N597" s="29"/>
      <c r="O597" s="19"/>
      <c r="P597" s="19"/>
      <c r="Q597" s="19"/>
      <c r="U597" s="20"/>
      <c r="V597" s="28"/>
    </row>
    <row r="598" spans="11:22" x14ac:dyDescent="0.45">
      <c r="K598" s="19"/>
      <c r="L598" s="20"/>
      <c r="M598" s="19"/>
      <c r="N598" s="29"/>
      <c r="O598" s="19"/>
      <c r="P598" s="19"/>
      <c r="Q598" s="19"/>
      <c r="U598" s="20"/>
      <c r="V598" s="28"/>
    </row>
    <row r="599" spans="11:22" x14ac:dyDescent="0.45">
      <c r="K599" s="19"/>
      <c r="L599" s="20"/>
      <c r="M599" s="19"/>
      <c r="N599" s="29"/>
      <c r="O599" s="19"/>
      <c r="P599" s="19"/>
      <c r="Q599" s="19"/>
      <c r="U599" s="20"/>
      <c r="V599" s="28"/>
    </row>
    <row r="600" spans="11:22" x14ac:dyDescent="0.45">
      <c r="K600" s="19"/>
      <c r="L600" s="20"/>
      <c r="M600" s="19"/>
      <c r="N600" s="29"/>
      <c r="O600" s="19"/>
      <c r="P600" s="19"/>
      <c r="Q600" s="19"/>
      <c r="U600" s="20"/>
      <c r="V600" s="28"/>
    </row>
    <row r="601" spans="11:22" x14ac:dyDescent="0.45">
      <c r="K601" s="19"/>
      <c r="L601" s="20"/>
      <c r="M601" s="19"/>
      <c r="N601" s="29"/>
      <c r="O601" s="19"/>
      <c r="P601" s="19"/>
      <c r="Q601" s="19"/>
      <c r="U601" s="20"/>
      <c r="V601" s="28"/>
    </row>
    <row r="602" spans="11:22" x14ac:dyDescent="0.45">
      <c r="K602" s="19"/>
      <c r="L602" s="20"/>
      <c r="M602" s="19"/>
      <c r="N602" s="29"/>
      <c r="O602" s="19"/>
      <c r="P602" s="19"/>
      <c r="Q602" s="19"/>
      <c r="U602" s="20"/>
      <c r="V602" s="28"/>
    </row>
    <row r="603" spans="11:22" x14ac:dyDescent="0.45">
      <c r="K603" s="19"/>
      <c r="L603" s="20"/>
      <c r="M603" s="19"/>
      <c r="N603" s="29"/>
      <c r="O603" s="19"/>
      <c r="P603" s="19"/>
      <c r="Q603" s="19"/>
      <c r="U603" s="20"/>
      <c r="V603" s="28"/>
    </row>
    <row r="604" spans="11:22" x14ac:dyDescent="0.45">
      <c r="K604" s="19"/>
      <c r="L604" s="20"/>
      <c r="M604" s="19"/>
      <c r="N604" s="29"/>
      <c r="O604" s="19"/>
      <c r="P604" s="19"/>
      <c r="Q604" s="19"/>
      <c r="U604" s="20"/>
      <c r="V604" s="28"/>
    </row>
    <row r="605" spans="11:22" x14ac:dyDescent="0.45">
      <c r="K605" s="19"/>
      <c r="L605" s="20"/>
      <c r="M605" s="19"/>
      <c r="N605" s="29"/>
      <c r="O605" s="19"/>
      <c r="P605" s="19"/>
      <c r="Q605" s="19"/>
      <c r="U605" s="20"/>
      <c r="V605" s="28"/>
    </row>
    <row r="606" spans="11:22" x14ac:dyDescent="0.45">
      <c r="K606" s="19"/>
      <c r="L606" s="20"/>
      <c r="M606" s="19"/>
      <c r="N606" s="29"/>
      <c r="O606" s="19"/>
      <c r="P606" s="19"/>
      <c r="Q606" s="19"/>
      <c r="U606" s="20"/>
      <c r="V606" s="28"/>
    </row>
    <row r="607" spans="11:22" x14ac:dyDescent="0.45">
      <c r="K607" s="19"/>
      <c r="L607" s="20"/>
      <c r="M607" s="19"/>
      <c r="N607" s="29"/>
      <c r="O607" s="19"/>
      <c r="P607" s="19"/>
      <c r="Q607" s="19"/>
      <c r="U607" s="20"/>
      <c r="V607" s="28"/>
    </row>
    <row r="608" spans="11:22" x14ac:dyDescent="0.45">
      <c r="K608" s="19"/>
      <c r="L608" s="20"/>
      <c r="M608" s="19"/>
      <c r="N608" s="29"/>
      <c r="O608" s="19"/>
      <c r="P608" s="19"/>
      <c r="Q608" s="19"/>
      <c r="U608" s="20"/>
      <c r="V608" s="28"/>
    </row>
    <row r="609" spans="11:22" x14ac:dyDescent="0.45">
      <c r="K609" s="19"/>
      <c r="L609" s="20"/>
      <c r="M609" s="19"/>
      <c r="N609" s="29"/>
      <c r="O609" s="19"/>
      <c r="P609" s="19"/>
      <c r="Q609" s="19"/>
      <c r="U609" s="20"/>
      <c r="V609" s="28"/>
    </row>
    <row r="610" spans="11:22" x14ac:dyDescent="0.45">
      <c r="K610" s="19"/>
      <c r="L610" s="20"/>
      <c r="M610" s="19"/>
      <c r="N610" s="29"/>
      <c r="O610" s="19"/>
      <c r="P610" s="19"/>
      <c r="Q610" s="19"/>
      <c r="U610" s="20"/>
      <c r="V610" s="28"/>
    </row>
    <row r="611" spans="11:22" x14ac:dyDescent="0.45">
      <c r="K611" s="19"/>
      <c r="L611" s="20"/>
      <c r="M611" s="19"/>
      <c r="N611" s="29"/>
      <c r="O611" s="19"/>
      <c r="P611" s="19"/>
      <c r="Q611" s="19"/>
      <c r="U611" s="20"/>
      <c r="V611" s="28"/>
    </row>
    <row r="612" spans="11:22" x14ac:dyDescent="0.45">
      <c r="K612" s="19"/>
      <c r="L612" s="20"/>
      <c r="M612" s="19"/>
      <c r="N612" s="29"/>
      <c r="O612" s="19"/>
      <c r="P612" s="19"/>
      <c r="Q612" s="19"/>
      <c r="U612" s="20"/>
      <c r="V612" s="28"/>
    </row>
    <row r="613" spans="11:22" x14ac:dyDescent="0.45">
      <c r="K613" s="19"/>
      <c r="L613" s="20"/>
      <c r="M613" s="19"/>
      <c r="N613" s="29"/>
      <c r="O613" s="19"/>
      <c r="P613" s="19"/>
      <c r="Q613" s="19"/>
      <c r="U613" s="20"/>
      <c r="V613" s="28"/>
    </row>
    <row r="614" spans="11:22" x14ac:dyDescent="0.45">
      <c r="K614" s="19"/>
      <c r="L614" s="20"/>
      <c r="M614" s="19"/>
      <c r="N614" s="29"/>
      <c r="O614" s="19"/>
      <c r="P614" s="19"/>
      <c r="Q614" s="19"/>
      <c r="U614" s="20"/>
      <c r="V614" s="28"/>
    </row>
    <row r="615" spans="11:22" x14ac:dyDescent="0.45">
      <c r="K615" s="19"/>
      <c r="L615" s="20"/>
      <c r="M615" s="19"/>
      <c r="N615" s="29"/>
      <c r="O615" s="19"/>
      <c r="P615" s="19"/>
      <c r="Q615" s="19"/>
      <c r="U615" s="20"/>
      <c r="V615" s="28"/>
    </row>
    <row r="616" spans="11:22" x14ac:dyDescent="0.45">
      <c r="K616" s="19"/>
      <c r="L616" s="20"/>
      <c r="M616" s="19"/>
      <c r="N616" s="29"/>
      <c r="O616" s="19"/>
      <c r="P616" s="19"/>
      <c r="Q616" s="19"/>
      <c r="U616" s="20"/>
      <c r="V616" s="28"/>
    </row>
    <row r="617" spans="11:22" x14ac:dyDescent="0.45">
      <c r="K617" s="19"/>
      <c r="L617" s="20"/>
      <c r="M617" s="19"/>
      <c r="N617" s="29"/>
      <c r="O617" s="19"/>
      <c r="P617" s="19"/>
      <c r="Q617" s="19"/>
      <c r="U617" s="20"/>
      <c r="V617" s="28"/>
    </row>
    <row r="618" spans="11:22" x14ac:dyDescent="0.45">
      <c r="K618" s="19"/>
      <c r="L618" s="20"/>
      <c r="M618" s="19"/>
      <c r="N618" s="29"/>
      <c r="O618" s="19"/>
      <c r="P618" s="19"/>
      <c r="Q618" s="19"/>
      <c r="U618" s="20"/>
      <c r="V618" s="28"/>
    </row>
    <row r="619" spans="11:22" x14ac:dyDescent="0.45">
      <c r="K619" s="19"/>
      <c r="L619" s="20"/>
      <c r="M619" s="19"/>
      <c r="N619" s="29"/>
      <c r="O619" s="19"/>
      <c r="P619" s="19"/>
      <c r="Q619" s="19"/>
      <c r="U619" s="20"/>
      <c r="V619" s="28"/>
    </row>
    <row r="620" spans="11:22" x14ac:dyDescent="0.45">
      <c r="K620" s="19"/>
      <c r="L620" s="20"/>
      <c r="M620" s="19"/>
      <c r="N620" s="29"/>
      <c r="O620" s="19"/>
      <c r="P620" s="19"/>
      <c r="Q620" s="19"/>
      <c r="U620" s="20"/>
      <c r="V620" s="28"/>
    </row>
    <row r="621" spans="11:22" x14ac:dyDescent="0.45">
      <c r="K621" s="19"/>
      <c r="L621" s="20"/>
      <c r="M621" s="19"/>
      <c r="N621" s="29"/>
      <c r="O621" s="19"/>
      <c r="P621" s="19"/>
      <c r="Q621" s="19"/>
      <c r="U621" s="20"/>
      <c r="V621" s="28"/>
    </row>
    <row r="622" spans="11:22" x14ac:dyDescent="0.45">
      <c r="K622" s="19"/>
      <c r="L622" s="20"/>
      <c r="M622" s="19"/>
      <c r="N622" s="29"/>
      <c r="O622" s="19"/>
      <c r="P622" s="19"/>
      <c r="Q622" s="19"/>
      <c r="U622" s="20"/>
      <c r="V622" s="28"/>
    </row>
    <row r="623" spans="11:22" x14ac:dyDescent="0.45">
      <c r="K623" s="19"/>
      <c r="L623" s="20"/>
      <c r="M623" s="19"/>
      <c r="N623" s="29"/>
      <c r="O623" s="19"/>
      <c r="P623" s="19"/>
      <c r="Q623" s="19"/>
      <c r="U623" s="20"/>
      <c r="V623" s="28"/>
    </row>
    <row r="624" spans="11:22" x14ac:dyDescent="0.45">
      <c r="K624" s="19"/>
      <c r="L624" s="20"/>
      <c r="M624" s="19"/>
      <c r="N624" s="29"/>
      <c r="O624" s="19"/>
      <c r="P624" s="19"/>
      <c r="Q624" s="19"/>
      <c r="U624" s="20"/>
      <c r="V624" s="28"/>
    </row>
    <row r="625" spans="11:22" x14ac:dyDescent="0.45">
      <c r="K625" s="19"/>
      <c r="L625" s="20"/>
      <c r="M625" s="19"/>
      <c r="N625" s="29"/>
      <c r="O625" s="19"/>
      <c r="P625" s="19"/>
      <c r="Q625" s="19"/>
      <c r="U625" s="20"/>
      <c r="V625" s="28"/>
    </row>
    <row r="626" spans="11:22" x14ac:dyDescent="0.45">
      <c r="K626" s="19"/>
      <c r="L626" s="20"/>
      <c r="M626" s="19"/>
      <c r="N626" s="29"/>
      <c r="O626" s="19"/>
      <c r="P626" s="19"/>
      <c r="Q626" s="19"/>
      <c r="U626" s="20"/>
      <c r="V626" s="28"/>
    </row>
    <row r="627" spans="11:22" x14ac:dyDescent="0.45">
      <c r="K627" s="19"/>
      <c r="L627" s="20"/>
      <c r="M627" s="19"/>
      <c r="N627" s="29"/>
      <c r="O627" s="19"/>
      <c r="P627" s="19"/>
      <c r="Q627" s="19"/>
      <c r="U627" s="20"/>
      <c r="V627" s="28"/>
    </row>
    <row r="628" spans="11:22" x14ac:dyDescent="0.45">
      <c r="K628" s="19"/>
      <c r="L628" s="20"/>
      <c r="M628" s="19"/>
      <c r="N628" s="29"/>
      <c r="O628" s="19"/>
      <c r="P628" s="19"/>
      <c r="Q628" s="19"/>
      <c r="U628" s="20"/>
      <c r="V628" s="28"/>
    </row>
    <row r="629" spans="11:22" x14ac:dyDescent="0.45">
      <c r="K629" s="19"/>
      <c r="L629" s="20"/>
      <c r="M629" s="19"/>
      <c r="N629" s="29"/>
      <c r="O629" s="19"/>
      <c r="P629" s="19"/>
      <c r="Q629" s="19"/>
      <c r="U629" s="20"/>
      <c r="V629" s="28"/>
    </row>
    <row r="630" spans="11:22" x14ac:dyDescent="0.45">
      <c r="K630" s="19"/>
      <c r="L630" s="20"/>
      <c r="M630" s="19"/>
      <c r="N630" s="29"/>
      <c r="O630" s="19"/>
      <c r="P630" s="19"/>
      <c r="Q630" s="19"/>
      <c r="U630" s="20"/>
      <c r="V630" s="28"/>
    </row>
    <row r="631" spans="11:22" x14ac:dyDescent="0.45">
      <c r="K631" s="19"/>
      <c r="L631" s="20"/>
      <c r="M631" s="19"/>
      <c r="N631" s="29"/>
      <c r="O631" s="19"/>
      <c r="P631" s="19"/>
      <c r="Q631" s="19"/>
      <c r="U631" s="20"/>
      <c r="V631" s="28"/>
    </row>
    <row r="632" spans="11:22" x14ac:dyDescent="0.45">
      <c r="K632" s="19"/>
      <c r="L632" s="20"/>
      <c r="M632" s="19"/>
      <c r="N632" s="29"/>
      <c r="O632" s="19"/>
      <c r="P632" s="19"/>
      <c r="Q632" s="19"/>
      <c r="U632" s="20"/>
      <c r="V632" s="28"/>
    </row>
    <row r="633" spans="11:22" x14ac:dyDescent="0.45">
      <c r="K633" s="19"/>
      <c r="L633" s="20"/>
      <c r="M633" s="19"/>
      <c r="N633" s="29"/>
      <c r="O633" s="19"/>
      <c r="P633" s="19"/>
      <c r="Q633" s="19"/>
      <c r="U633" s="20"/>
      <c r="V633" s="28"/>
    </row>
    <row r="634" spans="11:22" x14ac:dyDescent="0.45">
      <c r="K634" s="19"/>
      <c r="L634" s="20"/>
      <c r="M634" s="19"/>
      <c r="N634" s="29"/>
      <c r="O634" s="19"/>
      <c r="P634" s="19"/>
      <c r="Q634" s="19"/>
      <c r="U634" s="20"/>
      <c r="V634" s="28"/>
    </row>
    <row r="635" spans="11:22" x14ac:dyDescent="0.45">
      <c r="K635" s="19"/>
      <c r="L635" s="20"/>
      <c r="M635" s="19"/>
      <c r="N635" s="29"/>
      <c r="O635" s="19"/>
      <c r="P635" s="19"/>
      <c r="Q635" s="19"/>
      <c r="U635" s="20"/>
      <c r="V635" s="28"/>
    </row>
    <row r="636" spans="11:22" x14ac:dyDescent="0.45">
      <c r="K636" s="19"/>
      <c r="L636" s="20"/>
      <c r="M636" s="19"/>
      <c r="N636" s="29"/>
      <c r="O636" s="19"/>
      <c r="P636" s="19"/>
      <c r="Q636" s="19"/>
      <c r="U636" s="20"/>
      <c r="V636" s="28"/>
    </row>
    <row r="637" spans="11:22" x14ac:dyDescent="0.45">
      <c r="K637" s="19"/>
      <c r="L637" s="20"/>
      <c r="M637" s="19"/>
      <c r="N637" s="29"/>
      <c r="O637" s="19"/>
      <c r="P637" s="19"/>
      <c r="Q637" s="19"/>
      <c r="U637" s="20"/>
      <c r="V637" s="28"/>
    </row>
    <row r="638" spans="11:22" x14ac:dyDescent="0.45">
      <c r="K638" s="19"/>
      <c r="L638" s="20"/>
      <c r="M638" s="19"/>
      <c r="N638" s="29"/>
      <c r="O638" s="19"/>
      <c r="P638" s="19"/>
      <c r="Q638" s="19"/>
      <c r="U638" s="20"/>
      <c r="V638" s="28"/>
    </row>
    <row r="639" spans="11:22" x14ac:dyDescent="0.45">
      <c r="K639" s="19"/>
      <c r="L639" s="20"/>
      <c r="M639" s="19"/>
      <c r="N639" s="29"/>
      <c r="O639" s="19"/>
      <c r="P639" s="19"/>
      <c r="Q639" s="19"/>
      <c r="U639" s="20"/>
      <c r="V639" s="28"/>
    </row>
    <row r="640" spans="11:22" x14ac:dyDescent="0.45">
      <c r="K640" s="19"/>
      <c r="L640" s="20"/>
      <c r="M640" s="19"/>
      <c r="N640" s="29"/>
      <c r="O640" s="19"/>
      <c r="P640" s="19"/>
      <c r="Q640" s="19"/>
      <c r="U640" s="20"/>
      <c r="V640" s="28"/>
    </row>
    <row r="641" spans="11:22" x14ac:dyDescent="0.45">
      <c r="K641" s="19"/>
      <c r="L641" s="20"/>
      <c r="M641" s="19"/>
      <c r="N641" s="29"/>
      <c r="O641" s="19"/>
      <c r="P641" s="19"/>
      <c r="Q641" s="19"/>
      <c r="U641" s="20"/>
      <c r="V641" s="28"/>
    </row>
    <row r="642" spans="11:22" x14ac:dyDescent="0.45">
      <c r="K642" s="19"/>
      <c r="L642" s="20"/>
      <c r="M642" s="19"/>
      <c r="N642" s="29"/>
      <c r="O642" s="19"/>
      <c r="P642" s="19"/>
      <c r="Q642" s="19"/>
      <c r="U642" s="20"/>
      <c r="V642" s="28"/>
    </row>
    <row r="643" spans="11:22" x14ac:dyDescent="0.45">
      <c r="K643" s="19"/>
      <c r="L643" s="20"/>
      <c r="M643" s="19"/>
      <c r="N643" s="29"/>
      <c r="O643" s="19"/>
      <c r="P643" s="19"/>
      <c r="Q643" s="19"/>
      <c r="U643" s="20"/>
      <c r="V643" s="28"/>
    </row>
    <row r="644" spans="11:22" x14ac:dyDescent="0.45">
      <c r="K644" s="19"/>
      <c r="L644" s="20"/>
      <c r="M644" s="19"/>
      <c r="N644" s="29"/>
      <c r="O644" s="19"/>
      <c r="P644" s="19"/>
      <c r="Q644" s="19"/>
      <c r="U644" s="20"/>
      <c r="V644" s="28"/>
    </row>
    <row r="645" spans="11:22" x14ac:dyDescent="0.45">
      <c r="K645" s="19"/>
      <c r="L645" s="20"/>
      <c r="M645" s="19"/>
      <c r="N645" s="29"/>
      <c r="O645" s="19"/>
      <c r="P645" s="19"/>
      <c r="Q645" s="19"/>
      <c r="U645" s="20"/>
      <c r="V645" s="28"/>
    </row>
    <row r="646" spans="11:22" x14ac:dyDescent="0.45">
      <c r="K646" s="19"/>
      <c r="L646" s="20"/>
      <c r="M646" s="19"/>
      <c r="N646" s="29"/>
      <c r="O646" s="19"/>
      <c r="P646" s="19"/>
      <c r="Q646" s="19"/>
      <c r="U646" s="20"/>
      <c r="V646" s="28"/>
    </row>
    <row r="647" spans="11:22" x14ac:dyDescent="0.45">
      <c r="K647" s="19"/>
      <c r="L647" s="20"/>
      <c r="M647" s="19"/>
      <c r="N647" s="29"/>
      <c r="O647" s="19"/>
      <c r="P647" s="19"/>
      <c r="Q647" s="19"/>
      <c r="U647" s="20"/>
      <c r="V647" s="28"/>
    </row>
    <row r="648" spans="11:22" x14ac:dyDescent="0.45">
      <c r="K648" s="19"/>
      <c r="L648" s="20"/>
      <c r="M648" s="19"/>
      <c r="N648" s="29"/>
      <c r="O648" s="19"/>
      <c r="P648" s="19"/>
      <c r="Q648" s="19"/>
      <c r="U648" s="20"/>
      <c r="V648" s="28"/>
    </row>
    <row r="649" spans="11:22" x14ac:dyDescent="0.45">
      <c r="K649" s="19"/>
      <c r="L649" s="20"/>
      <c r="M649" s="19"/>
      <c r="N649" s="29"/>
      <c r="O649" s="19"/>
      <c r="P649" s="19"/>
      <c r="Q649" s="19"/>
      <c r="U649" s="20"/>
      <c r="V649" s="28"/>
    </row>
    <row r="650" spans="11:22" x14ac:dyDescent="0.45">
      <c r="K650" s="19"/>
      <c r="L650" s="20"/>
      <c r="M650" s="19"/>
      <c r="N650" s="29"/>
      <c r="O650" s="19"/>
      <c r="P650" s="19"/>
      <c r="Q650" s="19"/>
      <c r="U650" s="20"/>
      <c r="V650" s="28"/>
    </row>
    <row r="651" spans="11:22" x14ac:dyDescent="0.45">
      <c r="K651" s="19"/>
      <c r="L651" s="20"/>
      <c r="M651" s="19"/>
      <c r="N651" s="29"/>
      <c r="O651" s="19"/>
      <c r="P651" s="19"/>
      <c r="Q651" s="19"/>
      <c r="U651" s="20"/>
      <c r="V651" s="28"/>
    </row>
    <row r="652" spans="11:22" x14ac:dyDescent="0.45">
      <c r="K652" s="19"/>
      <c r="L652" s="20"/>
      <c r="M652" s="19"/>
      <c r="N652" s="29"/>
      <c r="O652" s="19"/>
      <c r="P652" s="19"/>
      <c r="Q652" s="19"/>
      <c r="U652" s="20"/>
      <c r="V652" s="28"/>
    </row>
    <row r="653" spans="11:22" x14ac:dyDescent="0.45">
      <c r="K653" s="19"/>
      <c r="L653" s="20"/>
      <c r="M653" s="19"/>
      <c r="N653" s="29"/>
      <c r="O653" s="19"/>
      <c r="P653" s="19"/>
      <c r="Q653" s="19"/>
      <c r="U653" s="20"/>
      <c r="V653" s="28"/>
    </row>
    <row r="654" spans="11:22" x14ac:dyDescent="0.45">
      <c r="K654" s="19"/>
      <c r="L654" s="20"/>
      <c r="M654" s="19"/>
      <c r="N654" s="29"/>
      <c r="O654" s="19"/>
      <c r="P654" s="19"/>
      <c r="Q654" s="19"/>
      <c r="U654" s="20"/>
      <c r="V654" s="28"/>
    </row>
    <row r="655" spans="11:22" x14ac:dyDescent="0.45">
      <c r="K655" s="19"/>
      <c r="L655" s="20"/>
      <c r="M655" s="19"/>
      <c r="N655" s="29"/>
      <c r="O655" s="19"/>
      <c r="P655" s="19"/>
      <c r="Q655" s="19"/>
      <c r="U655" s="20"/>
      <c r="V655" s="28"/>
    </row>
    <row r="656" spans="11:22" x14ac:dyDescent="0.45">
      <c r="K656" s="19"/>
      <c r="L656" s="20"/>
      <c r="M656" s="19"/>
      <c r="N656" s="29"/>
      <c r="O656" s="19"/>
      <c r="P656" s="19"/>
      <c r="Q656" s="19"/>
      <c r="U656" s="20"/>
      <c r="V656" s="28"/>
    </row>
    <row r="657" spans="11:22" x14ac:dyDescent="0.45">
      <c r="K657" s="19"/>
      <c r="L657" s="20"/>
      <c r="M657" s="19"/>
      <c r="N657" s="29"/>
      <c r="O657" s="19"/>
      <c r="P657" s="19"/>
      <c r="Q657" s="19"/>
      <c r="U657" s="20"/>
      <c r="V657" s="28"/>
    </row>
    <row r="658" spans="11:22" x14ac:dyDescent="0.45">
      <c r="K658" s="19"/>
      <c r="L658" s="20"/>
      <c r="M658" s="19"/>
      <c r="N658" s="29"/>
      <c r="O658" s="19"/>
      <c r="P658" s="19"/>
      <c r="Q658" s="19"/>
      <c r="U658" s="20"/>
      <c r="V658" s="28"/>
    </row>
    <row r="659" spans="11:22" x14ac:dyDescent="0.45">
      <c r="K659" s="19"/>
      <c r="L659" s="20"/>
      <c r="M659" s="19"/>
      <c r="N659" s="29"/>
      <c r="O659" s="19"/>
      <c r="P659" s="19"/>
      <c r="Q659" s="19"/>
      <c r="U659" s="20"/>
      <c r="V659" s="28"/>
    </row>
    <row r="660" spans="11:22" x14ac:dyDescent="0.45">
      <c r="K660" s="19"/>
      <c r="L660" s="20"/>
      <c r="M660" s="19"/>
      <c r="N660" s="29"/>
      <c r="O660" s="19"/>
      <c r="P660" s="19"/>
      <c r="Q660" s="19"/>
      <c r="U660" s="20"/>
      <c r="V660" s="28"/>
    </row>
    <row r="661" spans="11:22" x14ac:dyDescent="0.45">
      <c r="K661" s="19"/>
      <c r="L661" s="20"/>
      <c r="M661" s="19"/>
      <c r="N661" s="29"/>
      <c r="O661" s="19"/>
      <c r="P661" s="19"/>
      <c r="Q661" s="19"/>
      <c r="U661" s="20"/>
      <c r="V661" s="28"/>
    </row>
    <row r="662" spans="11:22" x14ac:dyDescent="0.45">
      <c r="K662" s="19"/>
      <c r="L662" s="20"/>
      <c r="M662" s="19"/>
      <c r="N662" s="29"/>
      <c r="O662" s="19"/>
      <c r="P662" s="19"/>
      <c r="Q662" s="19"/>
      <c r="U662" s="20"/>
      <c r="V662" s="28"/>
    </row>
    <row r="663" spans="11:22" x14ac:dyDescent="0.45">
      <c r="K663" s="19"/>
      <c r="L663" s="20"/>
      <c r="M663" s="19"/>
      <c r="N663" s="29"/>
      <c r="O663" s="19"/>
      <c r="P663" s="19"/>
      <c r="Q663" s="19"/>
      <c r="U663" s="20"/>
      <c r="V663" s="28"/>
    </row>
    <row r="664" spans="11:22" x14ac:dyDescent="0.45">
      <c r="K664" s="19"/>
      <c r="L664" s="20"/>
      <c r="M664" s="19"/>
      <c r="N664" s="29"/>
      <c r="O664" s="19"/>
      <c r="P664" s="19"/>
      <c r="Q664" s="19"/>
      <c r="U664" s="20"/>
      <c r="V664" s="28"/>
    </row>
    <row r="665" spans="11:22" x14ac:dyDescent="0.45">
      <c r="K665" s="19"/>
      <c r="L665" s="20"/>
      <c r="M665" s="19"/>
      <c r="N665" s="29"/>
      <c r="O665" s="19"/>
      <c r="P665" s="19"/>
      <c r="Q665" s="19"/>
      <c r="U665" s="20"/>
      <c r="V665" s="28"/>
    </row>
    <row r="666" spans="11:22" x14ac:dyDescent="0.45">
      <c r="K666" s="19"/>
      <c r="L666" s="20"/>
      <c r="M666" s="19"/>
      <c r="N666" s="29"/>
      <c r="O666" s="19"/>
      <c r="P666" s="19"/>
      <c r="Q666" s="19"/>
      <c r="U666" s="20"/>
      <c r="V666" s="28"/>
    </row>
    <row r="667" spans="11:22" x14ac:dyDescent="0.45">
      <c r="K667" s="19"/>
      <c r="L667" s="20"/>
      <c r="M667" s="19"/>
      <c r="N667" s="29"/>
      <c r="O667" s="19"/>
      <c r="P667" s="19"/>
      <c r="Q667" s="19"/>
      <c r="U667" s="20"/>
      <c r="V667" s="28"/>
    </row>
    <row r="668" spans="11:22" x14ac:dyDescent="0.45">
      <c r="K668" s="19"/>
      <c r="L668" s="20"/>
      <c r="M668" s="19"/>
      <c r="N668" s="29"/>
      <c r="O668" s="19"/>
      <c r="P668" s="19"/>
      <c r="Q668" s="19"/>
      <c r="U668" s="20"/>
      <c r="V668" s="28"/>
    </row>
    <row r="669" spans="11:22" x14ac:dyDescent="0.45">
      <c r="K669" s="19"/>
      <c r="L669" s="20"/>
      <c r="M669" s="19"/>
      <c r="N669" s="29"/>
      <c r="O669" s="19"/>
      <c r="P669" s="19"/>
      <c r="Q669" s="19"/>
      <c r="U669" s="20"/>
      <c r="V669" s="28"/>
    </row>
    <row r="670" spans="11:22" x14ac:dyDescent="0.45">
      <c r="K670" s="19"/>
      <c r="L670" s="20"/>
      <c r="M670" s="19"/>
      <c r="N670" s="29"/>
      <c r="O670" s="19"/>
      <c r="P670" s="19"/>
      <c r="Q670" s="19"/>
      <c r="U670" s="20"/>
      <c r="V670" s="28"/>
    </row>
    <row r="671" spans="11:22" x14ac:dyDescent="0.45">
      <c r="K671" s="19"/>
      <c r="L671" s="20"/>
      <c r="M671" s="19"/>
      <c r="N671" s="29"/>
      <c r="O671" s="19"/>
      <c r="P671" s="19"/>
      <c r="Q671" s="19"/>
      <c r="U671" s="20"/>
      <c r="V671" s="28"/>
    </row>
    <row r="672" spans="11:22" x14ac:dyDescent="0.45">
      <c r="K672" s="19"/>
      <c r="L672" s="20"/>
      <c r="M672" s="19"/>
      <c r="N672" s="29"/>
      <c r="O672" s="19"/>
      <c r="P672" s="19"/>
      <c r="Q672" s="19"/>
      <c r="U672" s="20"/>
      <c r="V672" s="28"/>
    </row>
    <row r="673" spans="11:22" x14ac:dyDescent="0.45">
      <c r="K673" s="19"/>
      <c r="L673" s="20"/>
      <c r="M673" s="19"/>
      <c r="N673" s="29"/>
      <c r="O673" s="19"/>
      <c r="P673" s="19"/>
      <c r="Q673" s="19"/>
      <c r="U673" s="20"/>
      <c r="V673" s="28"/>
    </row>
    <row r="674" spans="11:22" x14ac:dyDescent="0.45">
      <c r="K674" s="19"/>
      <c r="L674" s="20"/>
      <c r="M674" s="19"/>
      <c r="N674" s="29"/>
      <c r="O674" s="19"/>
      <c r="P674" s="19"/>
      <c r="Q674" s="19"/>
      <c r="U674" s="20"/>
      <c r="V674" s="28"/>
    </row>
    <row r="675" spans="11:22" x14ac:dyDescent="0.45">
      <c r="K675" s="19"/>
      <c r="L675" s="20"/>
      <c r="M675" s="19"/>
      <c r="N675" s="29"/>
      <c r="O675" s="19"/>
      <c r="P675" s="19"/>
      <c r="Q675" s="19"/>
      <c r="U675" s="20"/>
      <c r="V675" s="28"/>
    </row>
    <row r="676" spans="11:22" x14ac:dyDescent="0.45">
      <c r="K676" s="19"/>
      <c r="L676" s="20"/>
      <c r="M676" s="19"/>
      <c r="N676" s="29"/>
      <c r="O676" s="19"/>
      <c r="P676" s="19"/>
      <c r="Q676" s="19"/>
      <c r="U676" s="20"/>
      <c r="V676" s="28"/>
    </row>
    <row r="677" spans="11:22" x14ac:dyDescent="0.45">
      <c r="K677" s="19"/>
      <c r="L677" s="20"/>
      <c r="M677" s="19"/>
      <c r="N677" s="29"/>
      <c r="O677" s="19"/>
      <c r="P677" s="19"/>
      <c r="Q677" s="19"/>
      <c r="U677" s="20"/>
      <c r="V677" s="28"/>
    </row>
    <row r="678" spans="11:22" x14ac:dyDescent="0.45">
      <c r="K678" s="19"/>
      <c r="L678" s="20"/>
      <c r="M678" s="19"/>
      <c r="N678" s="29"/>
      <c r="O678" s="19"/>
      <c r="P678" s="19"/>
      <c r="Q678" s="19"/>
      <c r="U678" s="20"/>
      <c r="V678" s="28"/>
    </row>
    <row r="679" spans="11:22" x14ac:dyDescent="0.45">
      <c r="K679" s="19"/>
      <c r="L679" s="20"/>
      <c r="M679" s="19"/>
      <c r="N679" s="29"/>
      <c r="O679" s="19"/>
      <c r="P679" s="19"/>
      <c r="Q679" s="19"/>
      <c r="U679" s="20"/>
      <c r="V679" s="28"/>
    </row>
    <row r="680" spans="11:22" x14ac:dyDescent="0.45">
      <c r="K680" s="19"/>
      <c r="L680" s="20"/>
      <c r="M680" s="19"/>
      <c r="N680" s="29"/>
      <c r="O680" s="19"/>
      <c r="P680" s="19"/>
      <c r="Q680" s="19"/>
      <c r="U680" s="20"/>
      <c r="V680" s="28"/>
    </row>
    <row r="681" spans="11:22" x14ac:dyDescent="0.45">
      <c r="K681" s="19"/>
      <c r="L681" s="20"/>
      <c r="M681" s="19"/>
      <c r="N681" s="29"/>
      <c r="O681" s="19"/>
      <c r="P681" s="19"/>
      <c r="Q681" s="19"/>
      <c r="U681" s="20"/>
      <c r="V681" s="28"/>
    </row>
    <row r="682" spans="11:22" x14ac:dyDescent="0.45">
      <c r="K682" s="19"/>
      <c r="L682" s="20"/>
      <c r="M682" s="19"/>
      <c r="N682" s="29"/>
      <c r="O682" s="19"/>
      <c r="P682" s="19"/>
      <c r="Q682" s="19"/>
      <c r="U682" s="20"/>
      <c r="V682" s="28"/>
    </row>
    <row r="683" spans="11:22" x14ac:dyDescent="0.45">
      <c r="K683" s="19"/>
      <c r="L683" s="20"/>
      <c r="M683" s="19"/>
      <c r="N683" s="29"/>
      <c r="O683" s="19"/>
      <c r="P683" s="19"/>
      <c r="Q683" s="19"/>
      <c r="U683" s="20"/>
      <c r="V683" s="28"/>
    </row>
    <row r="684" spans="11:22" x14ac:dyDescent="0.45">
      <c r="K684" s="19"/>
      <c r="L684" s="20"/>
      <c r="M684" s="19"/>
      <c r="N684" s="29"/>
      <c r="O684" s="19"/>
      <c r="P684" s="19"/>
      <c r="Q684" s="19"/>
      <c r="U684" s="20"/>
      <c r="V684" s="28"/>
    </row>
    <row r="685" spans="11:22" x14ac:dyDescent="0.45">
      <c r="K685" s="19"/>
      <c r="L685" s="20"/>
      <c r="M685" s="19"/>
      <c r="N685" s="29"/>
      <c r="O685" s="19"/>
      <c r="P685" s="19"/>
      <c r="Q685" s="19"/>
      <c r="U685" s="20"/>
      <c r="V685" s="28"/>
    </row>
    <row r="686" spans="11:22" x14ac:dyDescent="0.45">
      <c r="K686" s="19"/>
      <c r="L686" s="20"/>
      <c r="M686" s="19"/>
      <c r="N686" s="29"/>
      <c r="O686" s="19"/>
      <c r="P686" s="19"/>
      <c r="Q686" s="19"/>
      <c r="U686" s="20"/>
      <c r="V686" s="28"/>
    </row>
    <row r="687" spans="11:22" x14ac:dyDescent="0.45">
      <c r="K687" s="19"/>
      <c r="L687" s="20"/>
      <c r="M687" s="19"/>
      <c r="N687" s="29"/>
      <c r="O687" s="19"/>
      <c r="P687" s="19"/>
      <c r="Q687" s="19"/>
      <c r="U687" s="20"/>
      <c r="V687" s="28"/>
    </row>
    <row r="688" spans="11:22" x14ac:dyDescent="0.45">
      <c r="K688" s="19"/>
      <c r="L688" s="20"/>
      <c r="M688" s="19"/>
      <c r="N688" s="29"/>
      <c r="O688" s="19"/>
      <c r="P688" s="19"/>
      <c r="Q688" s="19"/>
      <c r="U688" s="20"/>
      <c r="V688" s="28"/>
    </row>
    <row r="689" spans="11:22" x14ac:dyDescent="0.45">
      <c r="K689" s="19"/>
      <c r="L689" s="20"/>
      <c r="M689" s="19"/>
      <c r="N689" s="29"/>
      <c r="O689" s="19"/>
      <c r="P689" s="19"/>
      <c r="Q689" s="19"/>
      <c r="U689" s="20"/>
      <c r="V689" s="28"/>
    </row>
    <row r="690" spans="11:22" x14ac:dyDescent="0.45">
      <c r="K690" s="19"/>
      <c r="L690" s="20"/>
      <c r="M690" s="19"/>
      <c r="N690" s="29"/>
      <c r="O690" s="19"/>
      <c r="P690" s="19"/>
      <c r="Q690" s="19"/>
      <c r="U690" s="20"/>
      <c r="V690" s="28"/>
    </row>
    <row r="691" spans="11:22" x14ac:dyDescent="0.45">
      <c r="K691" s="19"/>
      <c r="L691" s="20"/>
      <c r="M691" s="19"/>
      <c r="N691" s="29"/>
      <c r="O691" s="19"/>
      <c r="P691" s="19"/>
      <c r="Q691" s="19"/>
      <c r="U691" s="20"/>
      <c r="V691" s="28"/>
    </row>
    <row r="692" spans="11:22" x14ac:dyDescent="0.45">
      <c r="K692" s="19"/>
      <c r="L692" s="20"/>
      <c r="M692" s="19"/>
      <c r="N692" s="29"/>
      <c r="O692" s="19"/>
      <c r="P692" s="19"/>
      <c r="Q692" s="19"/>
      <c r="U692" s="20"/>
      <c r="V692" s="28"/>
    </row>
    <row r="693" spans="11:22" x14ac:dyDescent="0.45">
      <c r="K693" s="19"/>
      <c r="L693" s="20"/>
      <c r="M693" s="19"/>
      <c r="N693" s="29"/>
      <c r="O693" s="19"/>
      <c r="P693" s="19"/>
      <c r="Q693" s="19"/>
      <c r="U693" s="20"/>
      <c r="V693" s="28"/>
    </row>
    <row r="694" spans="11:22" x14ac:dyDescent="0.45">
      <c r="K694" s="19"/>
      <c r="L694" s="20"/>
      <c r="M694" s="19"/>
      <c r="N694" s="29"/>
      <c r="O694" s="19"/>
      <c r="P694" s="19"/>
      <c r="Q694" s="19"/>
      <c r="U694" s="20"/>
      <c r="V694" s="28"/>
    </row>
    <row r="695" spans="11:22" x14ac:dyDescent="0.45">
      <c r="K695" s="19"/>
      <c r="L695" s="20"/>
      <c r="M695" s="19"/>
      <c r="N695" s="29"/>
      <c r="O695" s="19"/>
      <c r="P695" s="19"/>
      <c r="Q695" s="19"/>
      <c r="U695" s="20"/>
      <c r="V695" s="28"/>
    </row>
    <row r="696" spans="11:22" x14ac:dyDescent="0.45">
      <c r="K696" s="19"/>
      <c r="L696" s="20"/>
      <c r="M696" s="19"/>
      <c r="N696" s="29"/>
      <c r="O696" s="19"/>
      <c r="P696" s="19"/>
      <c r="Q696" s="19"/>
      <c r="U696" s="20"/>
      <c r="V696" s="28"/>
    </row>
    <row r="697" spans="11:22" x14ac:dyDescent="0.45">
      <c r="K697" s="19"/>
      <c r="L697" s="20"/>
      <c r="M697" s="19"/>
      <c r="N697" s="29"/>
      <c r="O697" s="19"/>
      <c r="P697" s="19"/>
      <c r="Q697" s="19"/>
      <c r="U697" s="20"/>
      <c r="V697" s="28"/>
    </row>
    <row r="698" spans="11:22" x14ac:dyDescent="0.45">
      <c r="K698" s="19"/>
      <c r="L698" s="20"/>
      <c r="M698" s="19"/>
      <c r="N698" s="29"/>
      <c r="O698" s="19"/>
      <c r="P698" s="19"/>
      <c r="Q698" s="19"/>
      <c r="U698" s="20"/>
      <c r="V698" s="28"/>
    </row>
    <row r="699" spans="11:22" x14ac:dyDescent="0.45">
      <c r="K699" s="19"/>
      <c r="L699" s="20"/>
      <c r="M699" s="19"/>
      <c r="N699" s="29"/>
      <c r="O699" s="19"/>
      <c r="P699" s="19"/>
      <c r="Q699" s="19"/>
      <c r="U699" s="20"/>
      <c r="V699" s="28"/>
    </row>
    <row r="700" spans="11:22" x14ac:dyDescent="0.45">
      <c r="K700" s="19"/>
      <c r="L700" s="20"/>
      <c r="M700" s="19"/>
      <c r="N700" s="29"/>
      <c r="O700" s="19"/>
      <c r="P700" s="19"/>
      <c r="Q700" s="19"/>
      <c r="U700" s="20"/>
      <c r="V700" s="28"/>
    </row>
    <row r="701" spans="11:22" x14ac:dyDescent="0.45">
      <c r="K701" s="19"/>
      <c r="L701" s="20"/>
      <c r="M701" s="19"/>
      <c r="N701" s="29"/>
      <c r="O701" s="19"/>
      <c r="P701" s="19"/>
      <c r="Q701" s="19"/>
      <c r="U701" s="20"/>
      <c r="V701" s="28"/>
    </row>
    <row r="702" spans="11:22" x14ac:dyDescent="0.45">
      <c r="K702" s="19"/>
      <c r="L702" s="20"/>
      <c r="M702" s="19"/>
      <c r="N702" s="29"/>
      <c r="O702" s="19"/>
      <c r="P702" s="19"/>
      <c r="Q702" s="19"/>
      <c r="U702" s="20"/>
      <c r="V702" s="28"/>
    </row>
    <row r="703" spans="11:22" x14ac:dyDescent="0.45">
      <c r="K703" s="19"/>
      <c r="L703" s="20"/>
      <c r="M703" s="19"/>
      <c r="N703" s="29"/>
      <c r="O703" s="19"/>
      <c r="P703" s="19"/>
      <c r="Q703" s="19"/>
      <c r="U703" s="20"/>
      <c r="V703" s="28"/>
    </row>
    <row r="704" spans="11:22" x14ac:dyDescent="0.45">
      <c r="K704" s="19"/>
      <c r="L704" s="20"/>
      <c r="M704" s="19"/>
      <c r="N704" s="29"/>
      <c r="O704" s="19"/>
      <c r="P704" s="19"/>
      <c r="Q704" s="19"/>
      <c r="U704" s="20"/>
      <c r="V704" s="28"/>
    </row>
    <row r="705" spans="11:22" x14ac:dyDescent="0.45">
      <c r="K705" s="19"/>
      <c r="L705" s="20"/>
      <c r="M705" s="19"/>
      <c r="N705" s="29"/>
      <c r="O705" s="19"/>
      <c r="P705" s="19"/>
      <c r="Q705" s="19"/>
      <c r="U705" s="20"/>
      <c r="V705" s="28"/>
    </row>
    <row r="706" spans="11:22" x14ac:dyDescent="0.45">
      <c r="K706" s="19"/>
      <c r="L706" s="20"/>
      <c r="M706" s="19"/>
      <c r="N706" s="29"/>
      <c r="O706" s="19"/>
      <c r="P706" s="19"/>
      <c r="Q706" s="19"/>
      <c r="U706" s="20"/>
      <c r="V706" s="28"/>
    </row>
    <row r="707" spans="11:22" x14ac:dyDescent="0.45">
      <c r="K707" s="19"/>
      <c r="L707" s="20"/>
      <c r="M707" s="19"/>
      <c r="N707" s="29"/>
      <c r="O707" s="19"/>
      <c r="P707" s="19"/>
      <c r="Q707" s="19"/>
      <c r="U707" s="20"/>
      <c r="V707" s="28"/>
    </row>
    <row r="708" spans="11:22" x14ac:dyDescent="0.45">
      <c r="K708" s="19"/>
      <c r="L708" s="20"/>
      <c r="M708" s="19"/>
      <c r="N708" s="29"/>
      <c r="O708" s="19"/>
      <c r="P708" s="19"/>
      <c r="Q708" s="19"/>
      <c r="U708" s="20"/>
      <c r="V708" s="28"/>
    </row>
    <row r="709" spans="11:22" x14ac:dyDescent="0.45">
      <c r="K709" s="19"/>
      <c r="L709" s="20"/>
      <c r="M709" s="19"/>
      <c r="N709" s="29"/>
      <c r="O709" s="19"/>
      <c r="P709" s="19"/>
      <c r="Q709" s="19"/>
      <c r="U709" s="20"/>
      <c r="V709" s="28"/>
    </row>
    <row r="710" spans="11:22" x14ac:dyDescent="0.45">
      <c r="K710" s="19"/>
      <c r="L710" s="20"/>
      <c r="M710" s="19"/>
      <c r="N710" s="29"/>
      <c r="O710" s="19"/>
      <c r="P710" s="19"/>
      <c r="Q710" s="19"/>
      <c r="U710" s="20"/>
      <c r="V710" s="28"/>
    </row>
    <row r="711" spans="11:22" x14ac:dyDescent="0.45">
      <c r="K711" s="19"/>
      <c r="L711" s="20"/>
      <c r="M711" s="19"/>
      <c r="N711" s="29"/>
      <c r="O711" s="19"/>
      <c r="P711" s="19"/>
      <c r="Q711" s="19"/>
      <c r="U711" s="20"/>
      <c r="V711" s="28"/>
    </row>
    <row r="712" spans="11:22" x14ac:dyDescent="0.45">
      <c r="K712" s="19"/>
      <c r="L712" s="20"/>
      <c r="M712" s="19"/>
      <c r="N712" s="29"/>
      <c r="O712" s="19"/>
      <c r="P712" s="19"/>
      <c r="Q712" s="19"/>
      <c r="U712" s="20"/>
      <c r="V712" s="28"/>
    </row>
    <row r="713" spans="11:22" x14ac:dyDescent="0.45">
      <c r="K713" s="19"/>
      <c r="L713" s="20"/>
      <c r="M713" s="19"/>
      <c r="N713" s="29"/>
      <c r="O713" s="19"/>
      <c r="P713" s="19"/>
      <c r="Q713" s="19"/>
      <c r="U713" s="20"/>
      <c r="V713" s="28"/>
    </row>
    <row r="714" spans="11:22" x14ac:dyDescent="0.45">
      <c r="K714" s="19"/>
      <c r="L714" s="20"/>
      <c r="M714" s="19"/>
      <c r="N714" s="29"/>
      <c r="O714" s="19"/>
      <c r="P714" s="19"/>
      <c r="Q714" s="19"/>
      <c r="U714" s="20"/>
      <c r="V714" s="28"/>
    </row>
    <row r="715" spans="11:22" x14ac:dyDescent="0.45">
      <c r="K715" s="19"/>
      <c r="L715" s="20"/>
      <c r="M715" s="19"/>
      <c r="N715" s="29"/>
      <c r="O715" s="19"/>
      <c r="P715" s="19"/>
      <c r="Q715" s="19"/>
      <c r="U715" s="20"/>
      <c r="V715" s="28"/>
    </row>
    <row r="716" spans="11:22" x14ac:dyDescent="0.45">
      <c r="K716" s="19"/>
      <c r="L716" s="20"/>
      <c r="M716" s="19"/>
      <c r="N716" s="29"/>
      <c r="O716" s="19"/>
      <c r="P716" s="19"/>
      <c r="Q716" s="19"/>
      <c r="U716" s="20"/>
      <c r="V716" s="28"/>
    </row>
    <row r="717" spans="11:22" x14ac:dyDescent="0.45">
      <c r="K717" s="19"/>
      <c r="L717" s="20"/>
      <c r="M717" s="19"/>
      <c r="N717" s="29"/>
      <c r="O717" s="19"/>
      <c r="P717" s="19"/>
      <c r="Q717" s="19"/>
      <c r="U717" s="20"/>
      <c r="V717" s="28"/>
    </row>
    <row r="718" spans="11:22" x14ac:dyDescent="0.45">
      <c r="K718" s="19"/>
      <c r="L718" s="20"/>
      <c r="M718" s="19"/>
      <c r="N718" s="29"/>
      <c r="O718" s="19"/>
      <c r="P718" s="19"/>
      <c r="Q718" s="19"/>
      <c r="U718" s="20"/>
      <c r="V718" s="28"/>
    </row>
    <row r="719" spans="11:22" x14ac:dyDescent="0.45">
      <c r="K719" s="19"/>
      <c r="L719" s="20"/>
      <c r="M719" s="19"/>
      <c r="N719" s="29"/>
      <c r="O719" s="19"/>
      <c r="P719" s="19"/>
      <c r="Q719" s="19"/>
      <c r="U719" s="20"/>
      <c r="V719" s="28"/>
    </row>
    <row r="720" spans="11:22" x14ac:dyDescent="0.45">
      <c r="K720" s="19"/>
      <c r="L720" s="20"/>
      <c r="M720" s="19"/>
      <c r="N720" s="29"/>
      <c r="O720" s="19"/>
      <c r="P720" s="19"/>
      <c r="Q720" s="19"/>
      <c r="U720" s="20"/>
      <c r="V720" s="28"/>
    </row>
    <row r="721" spans="11:22" x14ac:dyDescent="0.45">
      <c r="K721" s="19"/>
      <c r="L721" s="20"/>
      <c r="M721" s="19"/>
      <c r="N721" s="29"/>
      <c r="O721" s="19"/>
      <c r="P721" s="19"/>
      <c r="Q721" s="19"/>
      <c r="U721" s="20"/>
      <c r="V721" s="28"/>
    </row>
    <row r="722" spans="11:22" x14ac:dyDescent="0.45">
      <c r="K722" s="19"/>
      <c r="L722" s="20"/>
      <c r="M722" s="19"/>
      <c r="N722" s="29"/>
      <c r="O722" s="19"/>
      <c r="P722" s="19"/>
      <c r="Q722" s="19"/>
      <c r="U722" s="20"/>
      <c r="V722" s="28"/>
    </row>
    <row r="723" spans="11:22" x14ac:dyDescent="0.45">
      <c r="K723" s="19"/>
      <c r="L723" s="20"/>
      <c r="M723" s="19"/>
      <c r="N723" s="29"/>
      <c r="O723" s="19"/>
      <c r="P723" s="19"/>
      <c r="Q723" s="19"/>
      <c r="U723" s="20"/>
      <c r="V723" s="28"/>
    </row>
    <row r="724" spans="11:22" x14ac:dyDescent="0.45">
      <c r="K724" s="19"/>
      <c r="L724" s="20"/>
      <c r="M724" s="19"/>
      <c r="N724" s="29"/>
      <c r="O724" s="19"/>
      <c r="P724" s="19"/>
      <c r="Q724" s="19"/>
      <c r="U724" s="20"/>
      <c r="V724" s="28"/>
    </row>
    <row r="725" spans="11:22" x14ac:dyDescent="0.45">
      <c r="K725" s="19"/>
      <c r="L725" s="20"/>
      <c r="M725" s="19"/>
      <c r="N725" s="29"/>
      <c r="O725" s="19"/>
      <c r="P725" s="19"/>
      <c r="Q725" s="19"/>
      <c r="U725" s="20"/>
      <c r="V725" s="28"/>
    </row>
    <row r="726" spans="11:22" x14ac:dyDescent="0.45">
      <c r="K726" s="19"/>
      <c r="L726" s="20"/>
      <c r="M726" s="19"/>
      <c r="N726" s="29"/>
      <c r="O726" s="19"/>
      <c r="P726" s="19"/>
      <c r="Q726" s="19"/>
      <c r="U726" s="20"/>
      <c r="V726" s="28"/>
    </row>
    <row r="727" spans="11:22" x14ac:dyDescent="0.45">
      <c r="K727" s="19"/>
      <c r="L727" s="20"/>
      <c r="M727" s="19"/>
      <c r="N727" s="29"/>
      <c r="O727" s="19"/>
      <c r="P727" s="19"/>
      <c r="Q727" s="19"/>
      <c r="U727" s="20"/>
      <c r="V727" s="28"/>
    </row>
    <row r="728" spans="11:22" x14ac:dyDescent="0.45">
      <c r="K728" s="19"/>
      <c r="L728" s="20"/>
      <c r="M728" s="19"/>
      <c r="N728" s="29"/>
      <c r="O728" s="19"/>
      <c r="P728" s="19"/>
      <c r="Q728" s="19"/>
      <c r="U728" s="20"/>
      <c r="V728" s="28"/>
    </row>
    <row r="729" spans="11:22" x14ac:dyDescent="0.45">
      <c r="K729" s="19"/>
      <c r="L729" s="20"/>
      <c r="M729" s="19"/>
      <c r="N729" s="29"/>
      <c r="O729" s="19"/>
      <c r="P729" s="19"/>
      <c r="Q729" s="19"/>
      <c r="U729" s="20"/>
      <c r="V729" s="28"/>
    </row>
    <row r="730" spans="11:22" x14ac:dyDescent="0.45">
      <c r="K730" s="19"/>
      <c r="L730" s="20"/>
      <c r="M730" s="19"/>
      <c r="N730" s="29"/>
      <c r="O730" s="19"/>
      <c r="P730" s="19"/>
      <c r="Q730" s="19"/>
      <c r="U730" s="20"/>
      <c r="V730" s="28"/>
    </row>
    <row r="731" spans="11:22" x14ac:dyDescent="0.45">
      <c r="K731" s="19"/>
      <c r="L731" s="20"/>
      <c r="M731" s="19"/>
      <c r="N731" s="29"/>
      <c r="O731" s="19"/>
      <c r="P731" s="19"/>
      <c r="Q731" s="19"/>
      <c r="U731" s="20"/>
      <c r="V731" s="28"/>
    </row>
    <row r="732" spans="11:22" x14ac:dyDescent="0.45">
      <c r="K732" s="19"/>
      <c r="L732" s="20"/>
      <c r="M732" s="19"/>
      <c r="N732" s="29"/>
      <c r="O732" s="19"/>
      <c r="P732" s="19"/>
      <c r="Q732" s="19"/>
      <c r="U732" s="20"/>
      <c r="V732" s="28"/>
    </row>
    <row r="733" spans="11:22" x14ac:dyDescent="0.45">
      <c r="K733" s="19"/>
      <c r="L733" s="20"/>
      <c r="M733" s="19"/>
      <c r="N733" s="29"/>
      <c r="O733" s="19"/>
      <c r="P733" s="19"/>
      <c r="Q733" s="19"/>
      <c r="U733" s="20"/>
      <c r="V733" s="28"/>
    </row>
    <row r="734" spans="11:22" x14ac:dyDescent="0.45">
      <c r="K734" s="19"/>
      <c r="L734" s="20"/>
      <c r="M734" s="19"/>
      <c r="N734" s="29"/>
      <c r="O734" s="19"/>
      <c r="P734" s="19"/>
      <c r="Q734" s="19"/>
      <c r="U734" s="20"/>
      <c r="V734" s="28"/>
    </row>
    <row r="735" spans="11:22" x14ac:dyDescent="0.45">
      <c r="K735" s="19"/>
      <c r="L735" s="20"/>
      <c r="M735" s="19"/>
      <c r="N735" s="29"/>
      <c r="O735" s="19"/>
      <c r="P735" s="19"/>
      <c r="Q735" s="19"/>
      <c r="U735" s="20"/>
      <c r="V735" s="28"/>
    </row>
    <row r="736" spans="11:22" x14ac:dyDescent="0.45">
      <c r="K736" s="19"/>
      <c r="L736" s="20"/>
      <c r="M736" s="19"/>
      <c r="N736" s="29"/>
      <c r="O736" s="19"/>
      <c r="P736" s="19"/>
      <c r="Q736" s="19"/>
      <c r="U736" s="20"/>
      <c r="V736" s="28"/>
    </row>
    <row r="737" spans="11:22" x14ac:dyDescent="0.45">
      <c r="K737" s="19"/>
      <c r="L737" s="20"/>
      <c r="M737" s="19"/>
      <c r="N737" s="29"/>
      <c r="O737" s="19"/>
      <c r="P737" s="19"/>
      <c r="Q737" s="19"/>
      <c r="U737" s="20"/>
      <c r="V737" s="28"/>
    </row>
    <row r="738" spans="11:22" x14ac:dyDescent="0.45">
      <c r="K738" s="19"/>
      <c r="L738" s="20"/>
      <c r="M738" s="19"/>
      <c r="N738" s="29"/>
      <c r="O738" s="19"/>
      <c r="P738" s="19"/>
      <c r="Q738" s="19"/>
      <c r="U738" s="20"/>
      <c r="V738" s="28"/>
    </row>
    <row r="739" spans="11:22" x14ac:dyDescent="0.45">
      <c r="K739" s="19"/>
      <c r="L739" s="20"/>
      <c r="M739" s="19"/>
      <c r="N739" s="29"/>
      <c r="O739" s="19"/>
      <c r="P739" s="19"/>
      <c r="Q739" s="19"/>
      <c r="U739" s="20"/>
      <c r="V739" s="28"/>
    </row>
    <row r="740" spans="11:22" x14ac:dyDescent="0.45">
      <c r="K740" s="19"/>
      <c r="L740" s="20"/>
      <c r="M740" s="19"/>
      <c r="N740" s="29"/>
      <c r="O740" s="19"/>
      <c r="P740" s="19"/>
      <c r="Q740" s="19"/>
      <c r="U740" s="20"/>
      <c r="V740" s="28"/>
    </row>
    <row r="741" spans="11:22" x14ac:dyDescent="0.45">
      <c r="K741" s="19"/>
      <c r="L741" s="20"/>
      <c r="M741" s="19"/>
      <c r="N741" s="29"/>
      <c r="O741" s="19"/>
      <c r="P741" s="19"/>
      <c r="Q741" s="19"/>
      <c r="U741" s="20"/>
      <c r="V741" s="28"/>
    </row>
    <row r="742" spans="11:22" x14ac:dyDescent="0.45">
      <c r="K742" s="19"/>
      <c r="L742" s="20"/>
      <c r="M742" s="19"/>
      <c r="N742" s="29"/>
      <c r="O742" s="19"/>
      <c r="P742" s="19"/>
      <c r="Q742" s="19"/>
      <c r="U742" s="20"/>
      <c r="V742" s="28"/>
    </row>
    <row r="743" spans="11:22" x14ac:dyDescent="0.45">
      <c r="K743" s="19"/>
      <c r="L743" s="20"/>
      <c r="M743" s="19"/>
      <c r="N743" s="29"/>
      <c r="O743" s="19"/>
      <c r="P743" s="19"/>
      <c r="Q743" s="19"/>
      <c r="U743" s="20"/>
      <c r="V743" s="28"/>
    </row>
    <row r="744" spans="11:22" x14ac:dyDescent="0.45">
      <c r="K744" s="19"/>
      <c r="L744" s="20"/>
      <c r="M744" s="19"/>
      <c r="N744" s="29"/>
      <c r="O744" s="19"/>
      <c r="P744" s="19"/>
      <c r="Q744" s="19"/>
      <c r="U744" s="20"/>
      <c r="V744" s="28"/>
    </row>
    <row r="745" spans="11:22" x14ac:dyDescent="0.45">
      <c r="K745" s="19"/>
      <c r="L745" s="20"/>
      <c r="M745" s="19"/>
      <c r="N745" s="29"/>
      <c r="O745" s="19"/>
      <c r="P745" s="19"/>
      <c r="Q745" s="19"/>
      <c r="U745" s="20"/>
      <c r="V745" s="28"/>
    </row>
    <row r="746" spans="11:22" x14ac:dyDescent="0.45">
      <c r="K746" s="19"/>
      <c r="L746" s="20"/>
      <c r="M746" s="19"/>
      <c r="N746" s="29"/>
      <c r="O746" s="19"/>
      <c r="P746" s="19"/>
      <c r="Q746" s="19"/>
      <c r="U746" s="20"/>
      <c r="V746" s="28"/>
    </row>
    <row r="747" spans="11:22" x14ac:dyDescent="0.45">
      <c r="K747" s="19"/>
      <c r="L747" s="20"/>
      <c r="M747" s="19"/>
      <c r="N747" s="29"/>
      <c r="O747" s="19"/>
      <c r="P747" s="19"/>
      <c r="Q747" s="19"/>
      <c r="U747" s="20"/>
      <c r="V747" s="28"/>
    </row>
    <row r="748" spans="11:22" x14ac:dyDescent="0.45">
      <c r="K748" s="19"/>
      <c r="L748" s="20"/>
      <c r="M748" s="19"/>
      <c r="N748" s="29"/>
      <c r="O748" s="19"/>
      <c r="P748" s="19"/>
      <c r="Q748" s="19"/>
      <c r="U748" s="20"/>
      <c r="V748" s="28"/>
    </row>
    <row r="749" spans="11:22" x14ac:dyDescent="0.45">
      <c r="K749" s="19"/>
      <c r="L749" s="20"/>
      <c r="M749" s="19"/>
      <c r="N749" s="29"/>
      <c r="O749" s="19"/>
      <c r="P749" s="19"/>
      <c r="Q749" s="19"/>
      <c r="U749" s="20"/>
      <c r="V749" s="28"/>
    </row>
    <row r="750" spans="11:22" x14ac:dyDescent="0.45">
      <c r="K750" s="19"/>
      <c r="L750" s="20"/>
      <c r="M750" s="19"/>
      <c r="N750" s="29"/>
      <c r="O750" s="19"/>
      <c r="P750" s="19"/>
      <c r="Q750" s="19"/>
      <c r="U750" s="20"/>
      <c r="V750" s="28"/>
    </row>
    <row r="751" spans="11:22" x14ac:dyDescent="0.45">
      <c r="K751" s="19"/>
      <c r="L751" s="20"/>
      <c r="M751" s="19"/>
      <c r="N751" s="29"/>
      <c r="O751" s="19"/>
      <c r="P751" s="19"/>
      <c r="Q751" s="19"/>
      <c r="U751" s="20"/>
      <c r="V751" s="28"/>
    </row>
    <row r="752" spans="11:22" x14ac:dyDescent="0.45">
      <c r="K752" s="19"/>
      <c r="L752" s="20"/>
      <c r="M752" s="19"/>
      <c r="N752" s="29"/>
      <c r="O752" s="19"/>
      <c r="P752" s="19"/>
      <c r="Q752" s="19"/>
      <c r="U752" s="20"/>
      <c r="V752" s="28"/>
    </row>
    <row r="753" spans="11:22" x14ac:dyDescent="0.45">
      <c r="K753" s="19"/>
      <c r="L753" s="20"/>
      <c r="M753" s="19"/>
      <c r="N753" s="29"/>
      <c r="O753" s="19"/>
      <c r="P753" s="19"/>
      <c r="Q753" s="19"/>
      <c r="U753" s="20"/>
      <c r="V753" s="28"/>
    </row>
    <row r="754" spans="11:22" x14ac:dyDescent="0.45">
      <c r="K754" s="19"/>
      <c r="L754" s="20"/>
      <c r="M754" s="19"/>
      <c r="N754" s="29"/>
      <c r="O754" s="19"/>
      <c r="P754" s="19"/>
      <c r="Q754" s="19"/>
      <c r="U754" s="20"/>
      <c r="V754" s="28"/>
    </row>
    <row r="755" spans="11:22" x14ac:dyDescent="0.45">
      <c r="K755" s="19"/>
      <c r="L755" s="20"/>
      <c r="M755" s="19"/>
      <c r="N755" s="29"/>
      <c r="O755" s="19"/>
      <c r="P755" s="19"/>
      <c r="Q755" s="19"/>
      <c r="U755" s="20"/>
      <c r="V755" s="28"/>
    </row>
    <row r="756" spans="11:22" x14ac:dyDescent="0.45">
      <c r="K756" s="19"/>
      <c r="L756" s="20"/>
      <c r="M756" s="19"/>
      <c r="N756" s="29"/>
      <c r="O756" s="19"/>
      <c r="P756" s="19"/>
      <c r="Q756" s="19"/>
      <c r="U756" s="20"/>
      <c r="V756" s="28"/>
    </row>
    <row r="757" spans="11:22" x14ac:dyDescent="0.45">
      <c r="K757" s="19"/>
      <c r="L757" s="20"/>
      <c r="M757" s="19"/>
      <c r="N757" s="29"/>
      <c r="O757" s="19"/>
      <c r="P757" s="19"/>
      <c r="Q757" s="19"/>
      <c r="U757" s="20"/>
      <c r="V757" s="28"/>
    </row>
    <row r="758" spans="11:22" x14ac:dyDescent="0.45">
      <c r="K758" s="19"/>
      <c r="L758" s="20"/>
      <c r="M758" s="19"/>
      <c r="N758" s="29"/>
      <c r="O758" s="19"/>
      <c r="P758" s="19"/>
      <c r="Q758" s="19"/>
      <c r="U758" s="20"/>
      <c r="V758" s="28"/>
    </row>
    <row r="759" spans="11:22" x14ac:dyDescent="0.45">
      <c r="K759" s="19"/>
      <c r="L759" s="20"/>
      <c r="M759" s="19"/>
      <c r="N759" s="29"/>
      <c r="O759" s="19"/>
      <c r="P759" s="19"/>
      <c r="Q759" s="19"/>
      <c r="U759" s="20"/>
      <c r="V759" s="28"/>
    </row>
    <row r="760" spans="11:22" x14ac:dyDescent="0.45">
      <c r="K760" s="19"/>
      <c r="L760" s="20"/>
      <c r="M760" s="19"/>
      <c r="N760" s="29"/>
      <c r="O760" s="19"/>
      <c r="P760" s="19"/>
      <c r="Q760" s="19"/>
      <c r="U760" s="20"/>
      <c r="V760" s="28"/>
    </row>
    <row r="761" spans="11:22" x14ac:dyDescent="0.45">
      <c r="K761" s="19"/>
      <c r="L761" s="20"/>
      <c r="M761" s="19"/>
      <c r="N761" s="29"/>
      <c r="O761" s="19"/>
      <c r="P761" s="19"/>
      <c r="Q761" s="19"/>
      <c r="U761" s="20"/>
      <c r="V761" s="28"/>
    </row>
    <row r="762" spans="11:22" x14ac:dyDescent="0.45">
      <c r="K762" s="19"/>
      <c r="L762" s="20"/>
      <c r="M762" s="19"/>
      <c r="N762" s="29"/>
      <c r="O762" s="19"/>
      <c r="P762" s="19"/>
      <c r="Q762" s="19"/>
      <c r="U762" s="20"/>
      <c r="V762" s="28"/>
    </row>
    <row r="763" spans="11:22" x14ac:dyDescent="0.45">
      <c r="K763" s="19"/>
      <c r="L763" s="20"/>
      <c r="M763" s="19"/>
      <c r="N763" s="29"/>
      <c r="O763" s="19"/>
      <c r="P763" s="19"/>
      <c r="Q763" s="19"/>
      <c r="U763" s="20"/>
      <c r="V763" s="28"/>
    </row>
    <row r="764" spans="11:22" x14ac:dyDescent="0.45">
      <c r="K764" s="19"/>
      <c r="L764" s="20"/>
      <c r="M764" s="19"/>
      <c r="N764" s="29"/>
      <c r="O764" s="19"/>
      <c r="P764" s="19"/>
      <c r="Q764" s="19"/>
      <c r="U764" s="20"/>
      <c r="V764" s="28"/>
    </row>
    <row r="765" spans="11:22" x14ac:dyDescent="0.45">
      <c r="K765" s="19"/>
      <c r="L765" s="20"/>
      <c r="M765" s="19"/>
      <c r="N765" s="29"/>
      <c r="O765" s="19"/>
      <c r="P765" s="19"/>
      <c r="Q765" s="19"/>
      <c r="U765" s="20"/>
      <c r="V765" s="28"/>
    </row>
    <row r="766" spans="11:22" x14ac:dyDescent="0.45">
      <c r="K766" s="19"/>
      <c r="L766" s="20"/>
      <c r="M766" s="19"/>
      <c r="N766" s="29"/>
      <c r="O766" s="19"/>
      <c r="P766" s="19"/>
      <c r="Q766" s="19"/>
      <c r="U766" s="20"/>
      <c r="V766" s="28"/>
    </row>
    <row r="767" spans="11:22" x14ac:dyDescent="0.45">
      <c r="K767" s="19"/>
      <c r="L767" s="20"/>
      <c r="M767" s="19"/>
      <c r="N767" s="29"/>
      <c r="O767" s="19"/>
      <c r="P767" s="19"/>
      <c r="Q767" s="19"/>
      <c r="U767" s="20"/>
      <c r="V767" s="28"/>
    </row>
    <row r="768" spans="11:22" x14ac:dyDescent="0.45">
      <c r="K768" s="19"/>
      <c r="L768" s="20"/>
      <c r="M768" s="19"/>
      <c r="N768" s="29"/>
      <c r="O768" s="19"/>
      <c r="P768" s="19"/>
      <c r="Q768" s="19"/>
      <c r="U768" s="20"/>
      <c r="V768" s="28"/>
    </row>
    <row r="769" spans="11:22" x14ac:dyDescent="0.45">
      <c r="K769" s="19"/>
      <c r="L769" s="20"/>
      <c r="M769" s="19"/>
      <c r="N769" s="29"/>
      <c r="O769" s="19"/>
      <c r="P769" s="19"/>
      <c r="Q769" s="19"/>
      <c r="U769" s="20"/>
      <c r="V769" s="28"/>
    </row>
    <row r="770" spans="11:22" x14ac:dyDescent="0.45">
      <c r="K770" s="19"/>
      <c r="L770" s="20"/>
      <c r="M770" s="19"/>
      <c r="N770" s="29"/>
      <c r="O770" s="19"/>
      <c r="P770" s="19"/>
      <c r="Q770" s="19"/>
      <c r="U770" s="20"/>
      <c r="V770" s="28"/>
    </row>
    <row r="771" spans="11:22" x14ac:dyDescent="0.45">
      <c r="K771" s="19"/>
      <c r="L771" s="20"/>
      <c r="M771" s="19"/>
      <c r="N771" s="29"/>
      <c r="O771" s="19"/>
      <c r="P771" s="19"/>
      <c r="Q771" s="19"/>
      <c r="U771" s="20"/>
      <c r="V771" s="28"/>
    </row>
    <row r="772" spans="11:22" x14ac:dyDescent="0.45">
      <c r="K772" s="19"/>
      <c r="L772" s="20"/>
      <c r="M772" s="19"/>
      <c r="N772" s="29"/>
      <c r="O772" s="19"/>
      <c r="P772" s="19"/>
      <c r="Q772" s="19"/>
      <c r="U772" s="20"/>
      <c r="V772" s="28"/>
    </row>
    <row r="773" spans="11:22" x14ac:dyDescent="0.45">
      <c r="K773" s="19"/>
      <c r="L773" s="20"/>
      <c r="M773" s="19"/>
      <c r="N773" s="29"/>
      <c r="O773" s="19"/>
      <c r="P773" s="19"/>
      <c r="Q773" s="19"/>
      <c r="U773" s="20"/>
      <c r="V773" s="28"/>
    </row>
    <row r="774" spans="11:22" x14ac:dyDescent="0.45">
      <c r="K774" s="19"/>
      <c r="L774" s="20"/>
      <c r="M774" s="19"/>
      <c r="N774" s="29"/>
      <c r="O774" s="19"/>
      <c r="P774" s="19"/>
      <c r="Q774" s="19"/>
      <c r="U774" s="20"/>
      <c r="V774" s="28"/>
    </row>
    <row r="775" spans="11:22" x14ac:dyDescent="0.45">
      <c r="K775" s="19"/>
      <c r="L775" s="20"/>
      <c r="M775" s="19"/>
      <c r="N775" s="29"/>
      <c r="O775" s="19"/>
      <c r="P775" s="19"/>
      <c r="Q775" s="19"/>
      <c r="U775" s="20"/>
      <c r="V775" s="28"/>
    </row>
    <row r="776" spans="11:22" x14ac:dyDescent="0.45">
      <c r="K776" s="19"/>
      <c r="L776" s="20"/>
      <c r="M776" s="19"/>
      <c r="N776" s="29"/>
      <c r="O776" s="19"/>
      <c r="P776" s="19"/>
      <c r="Q776" s="19"/>
      <c r="U776" s="20"/>
      <c r="V776" s="28"/>
    </row>
    <row r="777" spans="11:22" x14ac:dyDescent="0.45">
      <c r="K777" s="19"/>
      <c r="L777" s="20"/>
      <c r="M777" s="19"/>
      <c r="N777" s="29"/>
      <c r="O777" s="19"/>
      <c r="P777" s="19"/>
      <c r="Q777" s="19"/>
      <c r="U777" s="20"/>
      <c r="V777" s="28"/>
    </row>
    <row r="778" spans="11:22" x14ac:dyDescent="0.45">
      <c r="K778" s="19"/>
      <c r="L778" s="20"/>
      <c r="M778" s="19"/>
      <c r="N778" s="29"/>
      <c r="O778" s="19"/>
      <c r="P778" s="19"/>
      <c r="Q778" s="19"/>
      <c r="U778" s="20"/>
      <c r="V778" s="28"/>
    </row>
    <row r="779" spans="11:22" x14ac:dyDescent="0.45">
      <c r="K779" s="19"/>
      <c r="L779" s="20"/>
      <c r="M779" s="19"/>
      <c r="N779" s="29"/>
      <c r="O779" s="19"/>
      <c r="P779" s="19"/>
      <c r="Q779" s="19"/>
      <c r="U779" s="20"/>
      <c r="V779" s="28"/>
    </row>
    <row r="780" spans="11:22" x14ac:dyDescent="0.45">
      <c r="K780" s="19"/>
      <c r="L780" s="20"/>
      <c r="M780" s="19"/>
      <c r="N780" s="29"/>
      <c r="O780" s="19"/>
      <c r="P780" s="19"/>
      <c r="Q780" s="19"/>
      <c r="U780" s="20"/>
      <c r="V780" s="28"/>
    </row>
    <row r="781" spans="11:22" x14ac:dyDescent="0.45">
      <c r="K781" s="19"/>
      <c r="L781" s="20"/>
      <c r="M781" s="19"/>
      <c r="N781" s="29"/>
      <c r="O781" s="19"/>
      <c r="P781" s="19"/>
      <c r="Q781" s="19"/>
      <c r="U781" s="20"/>
      <c r="V781" s="28"/>
    </row>
    <row r="782" spans="11:22" x14ac:dyDescent="0.45">
      <c r="K782" s="19"/>
      <c r="L782" s="20"/>
      <c r="M782" s="19"/>
      <c r="N782" s="29"/>
      <c r="O782" s="19"/>
      <c r="P782" s="19"/>
      <c r="Q782" s="19"/>
      <c r="U782" s="20"/>
      <c r="V782" s="28"/>
    </row>
    <row r="783" spans="11:22" x14ac:dyDescent="0.45">
      <c r="K783" s="19"/>
      <c r="L783" s="20"/>
      <c r="M783" s="19"/>
      <c r="N783" s="29"/>
      <c r="O783" s="19"/>
      <c r="P783" s="19"/>
      <c r="Q783" s="19"/>
      <c r="U783" s="20"/>
      <c r="V783" s="28"/>
    </row>
    <row r="784" spans="11:22" x14ac:dyDescent="0.45">
      <c r="K784" s="19"/>
      <c r="L784" s="20"/>
      <c r="M784" s="19"/>
      <c r="N784" s="29"/>
      <c r="O784" s="19"/>
      <c r="P784" s="19"/>
      <c r="Q784" s="19"/>
      <c r="U784" s="20"/>
      <c r="V784" s="28"/>
    </row>
    <row r="785" spans="11:22" x14ac:dyDescent="0.45">
      <c r="K785" s="19"/>
      <c r="L785" s="20"/>
      <c r="M785" s="19"/>
      <c r="N785" s="29"/>
      <c r="O785" s="19"/>
      <c r="P785" s="19"/>
      <c r="Q785" s="19"/>
      <c r="U785" s="20"/>
      <c r="V785" s="28"/>
    </row>
    <row r="786" spans="11:22" x14ac:dyDescent="0.45">
      <c r="K786" s="19"/>
      <c r="L786" s="20"/>
      <c r="M786" s="19"/>
      <c r="N786" s="29"/>
      <c r="O786" s="19"/>
      <c r="P786" s="19"/>
      <c r="Q786" s="19"/>
      <c r="U786" s="20"/>
      <c r="V786" s="28"/>
    </row>
    <row r="787" spans="11:22" x14ac:dyDescent="0.45">
      <c r="K787" s="19"/>
      <c r="L787" s="20"/>
      <c r="M787" s="19"/>
      <c r="N787" s="29"/>
      <c r="O787" s="19"/>
      <c r="P787" s="19"/>
      <c r="Q787" s="19"/>
      <c r="U787" s="20"/>
      <c r="V787" s="28"/>
    </row>
    <row r="788" spans="11:22" x14ac:dyDescent="0.45">
      <c r="K788" s="19"/>
      <c r="L788" s="20"/>
      <c r="M788" s="19"/>
      <c r="N788" s="29"/>
      <c r="O788" s="19"/>
      <c r="P788" s="19"/>
      <c r="Q788" s="19"/>
      <c r="U788" s="20"/>
      <c r="V788" s="28"/>
    </row>
    <row r="789" spans="11:22" x14ac:dyDescent="0.45">
      <c r="K789" s="19"/>
      <c r="L789" s="20"/>
      <c r="M789" s="19"/>
      <c r="N789" s="29"/>
      <c r="O789" s="19"/>
      <c r="P789" s="19"/>
      <c r="Q789" s="19"/>
      <c r="U789" s="20"/>
      <c r="V789" s="28"/>
    </row>
    <row r="790" spans="11:22" x14ac:dyDescent="0.45">
      <c r="K790" s="19"/>
      <c r="L790" s="20"/>
      <c r="M790" s="19"/>
      <c r="N790" s="29"/>
      <c r="O790" s="19"/>
      <c r="P790" s="19"/>
      <c r="Q790" s="19"/>
      <c r="U790" s="20"/>
      <c r="V790" s="28"/>
    </row>
    <row r="791" spans="11:22" x14ac:dyDescent="0.45">
      <c r="K791" s="19"/>
      <c r="L791" s="20"/>
      <c r="M791" s="19"/>
      <c r="N791" s="29"/>
      <c r="O791" s="19"/>
      <c r="P791" s="19"/>
      <c r="Q791" s="19"/>
      <c r="U791" s="20"/>
      <c r="V791" s="28"/>
    </row>
    <row r="792" spans="11:22" x14ac:dyDescent="0.45">
      <c r="K792" s="19"/>
      <c r="L792" s="20"/>
      <c r="M792" s="19"/>
      <c r="N792" s="29"/>
      <c r="O792" s="19"/>
      <c r="P792" s="19"/>
      <c r="Q792" s="19"/>
      <c r="U792" s="20"/>
      <c r="V792" s="28"/>
    </row>
    <row r="793" spans="11:22" x14ac:dyDescent="0.45">
      <c r="K793" s="19"/>
      <c r="L793" s="20"/>
      <c r="M793" s="19"/>
      <c r="N793" s="29"/>
      <c r="O793" s="19"/>
      <c r="P793" s="19"/>
      <c r="Q793" s="19"/>
      <c r="U793" s="20"/>
      <c r="V793" s="28"/>
    </row>
    <row r="794" spans="11:22" x14ac:dyDescent="0.45">
      <c r="K794" s="19"/>
      <c r="L794" s="20"/>
      <c r="M794" s="19"/>
      <c r="N794" s="29"/>
      <c r="O794" s="19"/>
      <c r="P794" s="19"/>
      <c r="Q794" s="19"/>
      <c r="U794" s="20"/>
      <c r="V794" s="28"/>
    </row>
    <row r="795" spans="11:22" x14ac:dyDescent="0.45">
      <c r="K795" s="19"/>
      <c r="L795" s="20"/>
      <c r="M795" s="19"/>
      <c r="N795" s="29"/>
      <c r="O795" s="19"/>
      <c r="P795" s="19"/>
      <c r="Q795" s="19"/>
      <c r="U795" s="20"/>
      <c r="V795" s="28"/>
    </row>
    <row r="796" spans="11:22" x14ac:dyDescent="0.45">
      <c r="K796" s="19"/>
      <c r="L796" s="20"/>
      <c r="M796" s="19"/>
      <c r="N796" s="29"/>
      <c r="O796" s="19"/>
      <c r="P796" s="19"/>
      <c r="Q796" s="19"/>
      <c r="U796" s="20"/>
      <c r="V796" s="28"/>
    </row>
    <row r="797" spans="11:22" x14ac:dyDescent="0.45">
      <c r="K797" s="19"/>
      <c r="L797" s="20"/>
      <c r="M797" s="19"/>
      <c r="N797" s="29"/>
      <c r="O797" s="19"/>
      <c r="P797" s="19"/>
      <c r="Q797" s="19"/>
      <c r="U797" s="20"/>
      <c r="V797" s="28"/>
    </row>
    <row r="798" spans="11:22" x14ac:dyDescent="0.45">
      <c r="K798" s="19"/>
      <c r="L798" s="20"/>
      <c r="M798" s="19"/>
      <c r="N798" s="29"/>
      <c r="O798" s="19"/>
      <c r="P798" s="19"/>
      <c r="Q798" s="19"/>
      <c r="U798" s="20"/>
      <c r="V798" s="28"/>
    </row>
    <row r="799" spans="11:22" x14ac:dyDescent="0.45">
      <c r="K799" s="19"/>
      <c r="L799" s="20"/>
      <c r="M799" s="19"/>
      <c r="N799" s="29"/>
      <c r="O799" s="19"/>
      <c r="P799" s="19"/>
      <c r="Q799" s="19"/>
      <c r="U799" s="20"/>
      <c r="V799" s="28"/>
    </row>
    <row r="800" spans="11:22" x14ac:dyDescent="0.45">
      <c r="K800" s="19"/>
      <c r="L800" s="20"/>
      <c r="M800" s="19"/>
      <c r="N800" s="29"/>
      <c r="O800" s="19"/>
      <c r="P800" s="19"/>
      <c r="Q800" s="19"/>
      <c r="U800" s="20"/>
      <c r="V800" s="28"/>
    </row>
    <row r="801" spans="11:22" x14ac:dyDescent="0.45">
      <c r="K801" s="19"/>
      <c r="L801" s="20"/>
      <c r="M801" s="19"/>
      <c r="N801" s="29"/>
      <c r="O801" s="19"/>
      <c r="P801" s="19"/>
      <c r="Q801" s="19"/>
      <c r="U801" s="20"/>
      <c r="V801" s="28"/>
    </row>
    <row r="802" spans="11:22" x14ac:dyDescent="0.45">
      <c r="K802" s="19"/>
      <c r="L802" s="20"/>
      <c r="M802" s="19"/>
      <c r="N802" s="29"/>
      <c r="O802" s="19"/>
      <c r="P802" s="19"/>
      <c r="Q802" s="19"/>
      <c r="U802" s="20"/>
      <c r="V802" s="28"/>
    </row>
    <row r="803" spans="11:22" x14ac:dyDescent="0.45">
      <c r="K803" s="19"/>
      <c r="L803" s="20"/>
      <c r="M803" s="19"/>
      <c r="N803" s="29"/>
      <c r="O803" s="19"/>
      <c r="P803" s="19"/>
      <c r="Q803" s="19"/>
      <c r="U803" s="20"/>
      <c r="V803" s="28"/>
    </row>
    <row r="804" spans="11:22" x14ac:dyDescent="0.45">
      <c r="K804" s="19"/>
      <c r="L804" s="20"/>
      <c r="M804" s="19"/>
      <c r="N804" s="29"/>
      <c r="O804" s="19"/>
      <c r="P804" s="19"/>
      <c r="Q804" s="19"/>
      <c r="U804" s="20"/>
      <c r="V804" s="28"/>
    </row>
    <row r="805" spans="11:22" x14ac:dyDescent="0.45">
      <c r="K805" s="19"/>
      <c r="L805" s="20"/>
      <c r="M805" s="19"/>
      <c r="N805" s="29"/>
      <c r="O805" s="19"/>
      <c r="P805" s="19"/>
      <c r="Q805" s="19"/>
      <c r="U805" s="20"/>
      <c r="V805" s="28"/>
    </row>
    <row r="806" spans="11:22" x14ac:dyDescent="0.45">
      <c r="K806" s="19"/>
      <c r="L806" s="20"/>
      <c r="M806" s="19"/>
      <c r="N806" s="29"/>
      <c r="O806" s="19"/>
      <c r="P806" s="19"/>
      <c r="Q806" s="19"/>
      <c r="U806" s="20"/>
      <c r="V806" s="28"/>
    </row>
    <row r="807" spans="11:22" x14ac:dyDescent="0.45">
      <c r="K807" s="19"/>
      <c r="L807" s="20"/>
      <c r="M807" s="19"/>
      <c r="N807" s="29"/>
      <c r="O807" s="19"/>
      <c r="P807" s="19"/>
      <c r="Q807" s="19"/>
      <c r="U807" s="20"/>
      <c r="V807" s="28"/>
    </row>
    <row r="808" spans="11:22" x14ac:dyDescent="0.45">
      <c r="K808" s="19"/>
      <c r="L808" s="20"/>
      <c r="M808" s="19"/>
      <c r="N808" s="29"/>
      <c r="O808" s="19"/>
      <c r="P808" s="19"/>
      <c r="Q808" s="19"/>
      <c r="U808" s="20"/>
      <c r="V808" s="28"/>
    </row>
    <row r="809" spans="11:22" x14ac:dyDescent="0.45">
      <c r="K809" s="19"/>
      <c r="L809" s="20"/>
      <c r="M809" s="19"/>
      <c r="N809" s="29"/>
      <c r="O809" s="19"/>
      <c r="P809" s="19"/>
      <c r="Q809" s="19"/>
      <c r="U809" s="20"/>
      <c r="V809" s="28"/>
    </row>
    <row r="810" spans="11:22" x14ac:dyDescent="0.45">
      <c r="K810" s="19"/>
      <c r="L810" s="20"/>
      <c r="M810" s="19"/>
      <c r="N810" s="29"/>
      <c r="O810" s="19"/>
      <c r="P810" s="19"/>
      <c r="Q810" s="19"/>
      <c r="U810" s="20"/>
      <c r="V810" s="28"/>
    </row>
    <row r="811" spans="11:22" x14ac:dyDescent="0.45">
      <c r="K811" s="19"/>
      <c r="L811" s="20"/>
      <c r="M811" s="19"/>
      <c r="N811" s="29"/>
      <c r="O811" s="19"/>
      <c r="P811" s="19"/>
      <c r="Q811" s="19"/>
      <c r="U811" s="20"/>
      <c r="V811" s="28"/>
    </row>
    <row r="812" spans="11:22" x14ac:dyDescent="0.45">
      <c r="K812" s="19"/>
      <c r="L812" s="20"/>
      <c r="M812" s="19"/>
      <c r="N812" s="29"/>
      <c r="O812" s="19"/>
      <c r="P812" s="19"/>
      <c r="Q812" s="19"/>
      <c r="U812" s="20"/>
      <c r="V812" s="28"/>
    </row>
    <row r="813" spans="11:22" x14ac:dyDescent="0.45">
      <c r="K813" s="19"/>
      <c r="L813" s="20"/>
      <c r="M813" s="19"/>
      <c r="N813" s="29"/>
      <c r="O813" s="19"/>
      <c r="P813" s="19"/>
      <c r="Q813" s="19"/>
      <c r="U813" s="20"/>
      <c r="V813" s="28"/>
    </row>
    <row r="814" spans="11:22" x14ac:dyDescent="0.45">
      <c r="K814" s="19"/>
      <c r="L814" s="20"/>
      <c r="M814" s="19"/>
      <c r="N814" s="29"/>
      <c r="O814" s="19"/>
      <c r="P814" s="19"/>
      <c r="Q814" s="19"/>
      <c r="U814" s="20"/>
      <c r="V814" s="28"/>
    </row>
    <row r="815" spans="11:22" x14ac:dyDescent="0.45">
      <c r="K815" s="19"/>
      <c r="L815" s="20"/>
      <c r="M815" s="19"/>
      <c r="N815" s="29"/>
      <c r="O815" s="19"/>
      <c r="P815" s="19"/>
      <c r="Q815" s="19"/>
      <c r="U815" s="20"/>
      <c r="V815" s="28"/>
    </row>
    <row r="816" spans="11:22" x14ac:dyDescent="0.45">
      <c r="K816" s="19"/>
      <c r="L816" s="20"/>
      <c r="M816" s="19"/>
      <c r="N816" s="29"/>
      <c r="O816" s="19"/>
      <c r="P816" s="19"/>
      <c r="Q816" s="19"/>
      <c r="U816" s="20"/>
      <c r="V816" s="28"/>
    </row>
    <row r="817" spans="11:22" x14ac:dyDescent="0.45">
      <c r="K817" s="19"/>
      <c r="L817" s="20"/>
      <c r="M817" s="19"/>
      <c r="N817" s="29"/>
      <c r="O817" s="19"/>
      <c r="P817" s="19"/>
      <c r="Q817" s="19"/>
      <c r="U817" s="20"/>
      <c r="V817" s="28"/>
    </row>
    <row r="818" spans="11:22" x14ac:dyDescent="0.45">
      <c r="K818" s="19"/>
      <c r="L818" s="20"/>
      <c r="M818" s="19"/>
      <c r="N818" s="29"/>
      <c r="O818" s="19"/>
      <c r="P818" s="19"/>
      <c r="Q818" s="19"/>
      <c r="U818" s="20"/>
      <c r="V818" s="28"/>
    </row>
    <row r="819" spans="11:22" x14ac:dyDescent="0.45">
      <c r="K819" s="19"/>
      <c r="L819" s="20"/>
      <c r="M819" s="19"/>
      <c r="N819" s="29"/>
      <c r="O819" s="19"/>
      <c r="P819" s="19"/>
      <c r="Q819" s="19"/>
      <c r="U819" s="20"/>
      <c r="V819" s="28"/>
    </row>
    <row r="820" spans="11:22" x14ac:dyDescent="0.45">
      <c r="K820" s="19"/>
      <c r="L820" s="20"/>
      <c r="M820" s="19"/>
      <c r="N820" s="29"/>
      <c r="O820" s="19"/>
      <c r="P820" s="19"/>
      <c r="Q820" s="19"/>
      <c r="U820" s="20"/>
      <c r="V820" s="28"/>
    </row>
    <row r="821" spans="11:22" x14ac:dyDescent="0.45">
      <c r="K821" s="19"/>
      <c r="L821" s="20"/>
      <c r="M821" s="19"/>
      <c r="N821" s="29"/>
      <c r="O821" s="19"/>
      <c r="P821" s="19"/>
      <c r="Q821" s="19"/>
      <c r="U821" s="20"/>
      <c r="V821" s="28"/>
    </row>
    <row r="822" spans="11:22" x14ac:dyDescent="0.45">
      <c r="K822" s="19"/>
      <c r="L822" s="20"/>
      <c r="M822" s="19"/>
      <c r="N822" s="29"/>
      <c r="O822" s="19"/>
      <c r="P822" s="19"/>
      <c r="Q822" s="19"/>
      <c r="U822" s="20"/>
      <c r="V822" s="28"/>
    </row>
    <row r="823" spans="11:22" x14ac:dyDescent="0.45">
      <c r="K823" s="19"/>
      <c r="L823" s="20"/>
      <c r="M823" s="19"/>
      <c r="N823" s="29"/>
      <c r="O823" s="19"/>
      <c r="P823" s="19"/>
      <c r="Q823" s="19"/>
      <c r="U823" s="20"/>
      <c r="V823" s="28"/>
    </row>
    <row r="824" spans="11:22" x14ac:dyDescent="0.45">
      <c r="K824" s="19"/>
      <c r="L824" s="20"/>
      <c r="M824" s="19"/>
      <c r="N824" s="29"/>
      <c r="O824" s="19"/>
      <c r="P824" s="19"/>
      <c r="Q824" s="19"/>
      <c r="U824" s="20"/>
      <c r="V824" s="28"/>
    </row>
    <row r="825" spans="11:22" x14ac:dyDescent="0.45">
      <c r="K825" s="19"/>
      <c r="L825" s="20"/>
      <c r="M825" s="19"/>
      <c r="N825" s="29"/>
      <c r="O825" s="19"/>
      <c r="P825" s="19"/>
      <c r="Q825" s="19"/>
      <c r="U825" s="20"/>
      <c r="V825" s="28"/>
    </row>
    <row r="826" spans="11:22" x14ac:dyDescent="0.45">
      <c r="K826" s="19"/>
      <c r="L826" s="20"/>
      <c r="M826" s="19"/>
      <c r="N826" s="29"/>
      <c r="O826" s="19"/>
      <c r="P826" s="19"/>
      <c r="Q826" s="19"/>
      <c r="U826" s="20"/>
      <c r="V826" s="28"/>
    </row>
    <row r="827" spans="11:22" x14ac:dyDescent="0.45">
      <c r="K827" s="19"/>
      <c r="L827" s="20"/>
      <c r="M827" s="19"/>
      <c r="N827" s="29"/>
      <c r="O827" s="19"/>
      <c r="P827" s="19"/>
      <c r="Q827" s="19"/>
      <c r="U827" s="20"/>
      <c r="V827" s="28"/>
    </row>
    <row r="828" spans="11:22" x14ac:dyDescent="0.45">
      <c r="K828" s="19"/>
      <c r="L828" s="20"/>
      <c r="M828" s="19"/>
      <c r="N828" s="29"/>
      <c r="O828" s="19"/>
      <c r="P828" s="19"/>
      <c r="Q828" s="19"/>
      <c r="U828" s="20"/>
      <c r="V828" s="28"/>
    </row>
    <row r="829" spans="11:22" x14ac:dyDescent="0.45">
      <c r="K829" s="19"/>
      <c r="L829" s="20"/>
      <c r="M829" s="19"/>
      <c r="N829" s="29"/>
      <c r="O829" s="19"/>
      <c r="P829" s="19"/>
      <c r="Q829" s="19"/>
      <c r="U829" s="20"/>
      <c r="V829" s="28"/>
    </row>
    <row r="830" spans="11:22" x14ac:dyDescent="0.45">
      <c r="K830" s="19"/>
      <c r="L830" s="20"/>
      <c r="M830" s="19"/>
      <c r="N830" s="29"/>
      <c r="O830" s="19"/>
      <c r="P830" s="19"/>
      <c r="Q830" s="19"/>
      <c r="U830" s="20"/>
      <c r="V830" s="28"/>
    </row>
    <row r="831" spans="11:22" x14ac:dyDescent="0.45">
      <c r="K831" s="19"/>
      <c r="L831" s="20"/>
      <c r="M831" s="19"/>
      <c r="N831" s="29"/>
      <c r="O831" s="19"/>
      <c r="P831" s="19"/>
      <c r="Q831" s="19"/>
      <c r="U831" s="20"/>
      <c r="V831" s="28"/>
    </row>
    <row r="832" spans="11:22" x14ac:dyDescent="0.45">
      <c r="K832" s="19"/>
      <c r="L832" s="20"/>
      <c r="M832" s="19"/>
      <c r="N832" s="29"/>
      <c r="O832" s="19"/>
      <c r="P832" s="19"/>
      <c r="Q832" s="19"/>
      <c r="U832" s="20"/>
      <c r="V832" s="28"/>
    </row>
    <row r="833" spans="11:22" x14ac:dyDescent="0.45">
      <c r="K833" s="19"/>
      <c r="L833" s="20"/>
      <c r="M833" s="19"/>
      <c r="N833" s="29"/>
      <c r="O833" s="19"/>
      <c r="P833" s="19"/>
      <c r="Q833" s="19"/>
      <c r="U833" s="20"/>
      <c r="V833" s="28"/>
    </row>
    <row r="834" spans="11:22" x14ac:dyDescent="0.45">
      <c r="K834" s="19"/>
      <c r="L834" s="20"/>
      <c r="M834" s="19"/>
      <c r="N834" s="29"/>
      <c r="O834" s="19"/>
      <c r="P834" s="19"/>
      <c r="Q834" s="19"/>
      <c r="U834" s="20"/>
      <c r="V834" s="28"/>
    </row>
    <row r="835" spans="11:22" x14ac:dyDescent="0.45">
      <c r="K835" s="19"/>
      <c r="L835" s="20"/>
      <c r="M835" s="19"/>
      <c r="N835" s="29"/>
      <c r="O835" s="19"/>
      <c r="P835" s="19"/>
      <c r="Q835" s="19"/>
      <c r="U835" s="20"/>
      <c r="V835" s="28"/>
    </row>
    <row r="836" spans="11:22" x14ac:dyDescent="0.45">
      <c r="K836" s="19"/>
      <c r="L836" s="20"/>
      <c r="M836" s="19"/>
      <c r="N836" s="29"/>
      <c r="O836" s="19"/>
      <c r="P836" s="19"/>
      <c r="Q836" s="19"/>
      <c r="U836" s="20"/>
      <c r="V836" s="28"/>
    </row>
    <row r="837" spans="11:22" x14ac:dyDescent="0.45">
      <c r="K837" s="19"/>
      <c r="L837" s="20"/>
      <c r="M837" s="19"/>
      <c r="N837" s="29"/>
      <c r="O837" s="19"/>
      <c r="P837" s="19"/>
      <c r="Q837" s="19"/>
      <c r="U837" s="20"/>
      <c r="V837" s="28"/>
    </row>
    <row r="838" spans="11:22" x14ac:dyDescent="0.45">
      <c r="K838" s="19"/>
      <c r="L838" s="20"/>
      <c r="M838" s="19"/>
      <c r="N838" s="29"/>
      <c r="O838" s="19"/>
      <c r="P838" s="19"/>
      <c r="Q838" s="19"/>
      <c r="U838" s="20"/>
      <c r="V838" s="28"/>
    </row>
    <row r="839" spans="11:22" x14ac:dyDescent="0.45">
      <c r="K839" s="19"/>
      <c r="L839" s="20"/>
      <c r="M839" s="19"/>
      <c r="N839" s="29"/>
      <c r="O839" s="19"/>
      <c r="P839" s="19"/>
      <c r="Q839" s="19"/>
      <c r="U839" s="20"/>
      <c r="V839" s="28"/>
    </row>
    <row r="840" spans="11:22" x14ac:dyDescent="0.45">
      <c r="K840" s="19"/>
      <c r="L840" s="20"/>
      <c r="M840" s="19"/>
      <c r="N840" s="29"/>
      <c r="O840" s="19"/>
      <c r="P840" s="19"/>
      <c r="Q840" s="19"/>
      <c r="U840" s="20"/>
      <c r="V840" s="28"/>
    </row>
    <row r="841" spans="11:22" x14ac:dyDescent="0.45">
      <c r="K841" s="19"/>
      <c r="L841" s="20"/>
      <c r="M841" s="19"/>
      <c r="N841" s="29"/>
      <c r="O841" s="19"/>
      <c r="P841" s="19"/>
      <c r="Q841" s="19"/>
      <c r="U841" s="20"/>
      <c r="V841" s="28"/>
    </row>
    <row r="842" spans="11:22" x14ac:dyDescent="0.45">
      <c r="K842" s="19"/>
      <c r="L842" s="20"/>
      <c r="M842" s="19"/>
      <c r="N842" s="29"/>
      <c r="O842" s="19"/>
      <c r="P842" s="19"/>
      <c r="Q842" s="19"/>
      <c r="U842" s="20"/>
      <c r="V842" s="28"/>
    </row>
    <row r="843" spans="11:22" x14ac:dyDescent="0.45">
      <c r="K843" s="19"/>
      <c r="L843" s="20"/>
      <c r="M843" s="19"/>
      <c r="N843" s="29"/>
      <c r="O843" s="19"/>
      <c r="P843" s="19"/>
      <c r="Q843" s="19"/>
      <c r="U843" s="20"/>
      <c r="V843" s="28"/>
    </row>
    <row r="844" spans="11:22" x14ac:dyDescent="0.45">
      <c r="K844" s="19"/>
      <c r="L844" s="20"/>
      <c r="M844" s="19"/>
      <c r="N844" s="29"/>
      <c r="O844" s="19"/>
      <c r="P844" s="19"/>
      <c r="Q844" s="19"/>
      <c r="U844" s="20"/>
      <c r="V844" s="28"/>
    </row>
    <row r="845" spans="11:22" x14ac:dyDescent="0.45">
      <c r="K845" s="19"/>
      <c r="L845" s="20"/>
      <c r="M845" s="19"/>
      <c r="N845" s="29"/>
      <c r="O845" s="19"/>
      <c r="P845" s="19"/>
      <c r="Q845" s="19"/>
      <c r="U845" s="20"/>
      <c r="V845" s="28"/>
    </row>
    <row r="846" spans="11:22" x14ac:dyDescent="0.45">
      <c r="K846" s="19"/>
      <c r="L846" s="20"/>
      <c r="M846" s="19"/>
      <c r="N846" s="29"/>
      <c r="O846" s="19"/>
      <c r="P846" s="19"/>
      <c r="Q846" s="19"/>
      <c r="U846" s="20"/>
      <c r="V846" s="28"/>
    </row>
    <row r="847" spans="11:22" x14ac:dyDescent="0.45">
      <c r="K847" s="19"/>
      <c r="L847" s="20"/>
      <c r="M847" s="19"/>
      <c r="N847" s="29"/>
      <c r="O847" s="19"/>
      <c r="P847" s="19"/>
      <c r="Q847" s="19"/>
      <c r="U847" s="20"/>
      <c r="V847" s="28"/>
    </row>
    <row r="848" spans="11:22" x14ac:dyDescent="0.45">
      <c r="K848" s="19"/>
      <c r="L848" s="20"/>
      <c r="M848" s="19"/>
      <c r="N848" s="29"/>
      <c r="O848" s="19"/>
      <c r="P848" s="19"/>
      <c r="Q848" s="19"/>
      <c r="U848" s="20"/>
      <c r="V848" s="28"/>
    </row>
    <row r="849" spans="11:22" x14ac:dyDescent="0.45">
      <c r="K849" s="19"/>
      <c r="L849" s="20"/>
      <c r="M849" s="19"/>
      <c r="N849" s="29"/>
      <c r="O849" s="19"/>
      <c r="P849" s="19"/>
      <c r="Q849" s="19"/>
      <c r="U849" s="20"/>
      <c r="V849" s="28"/>
    </row>
    <row r="850" spans="11:22" x14ac:dyDescent="0.45">
      <c r="K850" s="19"/>
      <c r="L850" s="20"/>
      <c r="M850" s="19"/>
      <c r="N850" s="29"/>
      <c r="O850" s="19"/>
      <c r="P850" s="19"/>
      <c r="Q850" s="19"/>
      <c r="U850" s="20"/>
      <c r="V850" s="28"/>
    </row>
    <row r="851" spans="11:22" x14ac:dyDescent="0.45">
      <c r="K851" s="19"/>
      <c r="L851" s="20"/>
      <c r="M851" s="19"/>
      <c r="N851" s="29"/>
      <c r="O851" s="19"/>
      <c r="P851" s="19"/>
      <c r="Q851" s="19"/>
      <c r="U851" s="20"/>
      <c r="V851" s="28"/>
    </row>
    <row r="852" spans="11:22" x14ac:dyDescent="0.45">
      <c r="K852" s="19"/>
      <c r="L852" s="20"/>
      <c r="M852" s="19"/>
      <c r="N852" s="29"/>
      <c r="O852" s="19"/>
      <c r="P852" s="19"/>
      <c r="Q852" s="19"/>
      <c r="U852" s="20"/>
      <c r="V852" s="28"/>
    </row>
    <row r="853" spans="11:22" x14ac:dyDescent="0.45">
      <c r="K853" s="19"/>
      <c r="L853" s="20"/>
      <c r="M853" s="19"/>
      <c r="N853" s="29"/>
      <c r="O853" s="19"/>
      <c r="P853" s="19"/>
      <c r="Q853" s="19"/>
      <c r="U853" s="20"/>
      <c r="V853" s="28"/>
    </row>
    <row r="854" spans="11:22" x14ac:dyDescent="0.45">
      <c r="K854" s="19"/>
      <c r="L854" s="20"/>
      <c r="M854" s="19"/>
      <c r="N854" s="29"/>
      <c r="O854" s="19"/>
      <c r="P854" s="19"/>
      <c r="Q854" s="19"/>
      <c r="U854" s="20"/>
      <c r="V854" s="28"/>
    </row>
    <row r="855" spans="11:22" x14ac:dyDescent="0.45">
      <c r="K855" s="19"/>
      <c r="L855" s="20"/>
      <c r="M855" s="19"/>
      <c r="N855" s="29"/>
      <c r="O855" s="19"/>
      <c r="P855" s="19"/>
      <c r="Q855" s="19"/>
      <c r="U855" s="20"/>
      <c r="V855" s="28"/>
    </row>
    <row r="856" spans="11:22" x14ac:dyDescent="0.45">
      <c r="K856" s="19"/>
      <c r="L856" s="20"/>
      <c r="M856" s="19"/>
      <c r="N856" s="29"/>
      <c r="O856" s="19"/>
      <c r="P856" s="19"/>
      <c r="Q856" s="19"/>
      <c r="U856" s="20"/>
      <c r="V856" s="28"/>
    </row>
    <row r="857" spans="11:22" x14ac:dyDescent="0.45">
      <c r="K857" s="19"/>
      <c r="L857" s="20"/>
      <c r="M857" s="19"/>
      <c r="N857" s="29"/>
      <c r="O857" s="19"/>
      <c r="P857" s="19"/>
      <c r="Q857" s="19"/>
      <c r="U857" s="20"/>
      <c r="V857" s="28"/>
    </row>
    <row r="858" spans="11:22" x14ac:dyDescent="0.45">
      <c r="K858" s="19"/>
      <c r="L858" s="20"/>
      <c r="M858" s="19"/>
      <c r="N858" s="29"/>
      <c r="O858" s="19"/>
      <c r="P858" s="19"/>
      <c r="Q858" s="19"/>
      <c r="U858" s="20"/>
      <c r="V858" s="28"/>
    </row>
    <row r="859" spans="11:22" x14ac:dyDescent="0.45">
      <c r="K859" s="19"/>
      <c r="L859" s="20"/>
      <c r="M859" s="19"/>
      <c r="N859" s="29"/>
      <c r="O859" s="19"/>
      <c r="P859" s="19"/>
      <c r="Q859" s="19"/>
      <c r="U859" s="20"/>
      <c r="V859" s="28"/>
    </row>
    <row r="860" spans="11:22" x14ac:dyDescent="0.45">
      <c r="K860" s="19"/>
      <c r="L860" s="20"/>
      <c r="M860" s="19"/>
      <c r="N860" s="29"/>
      <c r="O860" s="19"/>
      <c r="P860" s="19"/>
      <c r="Q860" s="19"/>
      <c r="U860" s="20"/>
      <c r="V860" s="28"/>
    </row>
    <row r="861" spans="11:22" x14ac:dyDescent="0.45">
      <c r="K861" s="19"/>
      <c r="L861" s="20"/>
      <c r="M861" s="19"/>
      <c r="N861" s="29"/>
      <c r="O861" s="19"/>
      <c r="P861" s="19"/>
      <c r="Q861" s="19"/>
      <c r="U861" s="20"/>
      <c r="V861" s="28"/>
    </row>
    <row r="862" spans="11:22" x14ac:dyDescent="0.45">
      <c r="K862" s="19"/>
      <c r="L862" s="20"/>
      <c r="M862" s="19"/>
      <c r="N862" s="29"/>
      <c r="O862" s="19"/>
      <c r="P862" s="19"/>
      <c r="Q862" s="19"/>
      <c r="U862" s="20"/>
      <c r="V862" s="28"/>
    </row>
    <row r="863" spans="11:22" x14ac:dyDescent="0.45">
      <c r="K863" s="19"/>
      <c r="L863" s="20"/>
      <c r="M863" s="19"/>
      <c r="N863" s="29"/>
      <c r="O863" s="19"/>
      <c r="P863" s="19"/>
      <c r="Q863" s="19"/>
      <c r="U863" s="20"/>
      <c r="V863" s="28"/>
    </row>
    <row r="864" spans="11:22" x14ac:dyDescent="0.45">
      <c r="K864" s="19"/>
      <c r="L864" s="20"/>
      <c r="M864" s="19"/>
      <c r="N864" s="29"/>
      <c r="O864" s="19"/>
      <c r="P864" s="19"/>
      <c r="Q864" s="19"/>
      <c r="U864" s="20"/>
      <c r="V864" s="28"/>
    </row>
    <row r="865" spans="11:22" x14ac:dyDescent="0.45">
      <c r="K865" s="19"/>
      <c r="L865" s="20"/>
      <c r="M865" s="19"/>
      <c r="N865" s="29"/>
      <c r="O865" s="19"/>
      <c r="P865" s="19"/>
      <c r="Q865" s="19"/>
      <c r="U865" s="20"/>
      <c r="V865" s="28"/>
    </row>
    <row r="866" spans="11:22" x14ac:dyDescent="0.45">
      <c r="K866" s="19"/>
      <c r="L866" s="20"/>
      <c r="M866" s="19"/>
      <c r="N866" s="29"/>
      <c r="O866" s="19"/>
      <c r="P866" s="19"/>
      <c r="Q866" s="19"/>
      <c r="U866" s="20"/>
      <c r="V866" s="28"/>
    </row>
    <row r="867" spans="11:22" x14ac:dyDescent="0.45">
      <c r="K867" s="19"/>
      <c r="L867" s="20"/>
      <c r="M867" s="19"/>
      <c r="N867" s="29"/>
      <c r="O867" s="19"/>
      <c r="P867" s="19"/>
      <c r="Q867" s="19"/>
      <c r="U867" s="20"/>
      <c r="V867" s="28"/>
    </row>
    <row r="868" spans="11:22" x14ac:dyDescent="0.45">
      <c r="K868" s="19"/>
      <c r="L868" s="20"/>
      <c r="M868" s="19"/>
      <c r="N868" s="29"/>
      <c r="O868" s="19"/>
      <c r="P868" s="19"/>
      <c r="Q868" s="19"/>
      <c r="U868" s="20"/>
      <c r="V868" s="28"/>
    </row>
    <row r="869" spans="11:22" x14ac:dyDescent="0.45">
      <c r="K869" s="19"/>
      <c r="L869" s="20"/>
      <c r="M869" s="19"/>
      <c r="N869" s="29"/>
      <c r="O869" s="19"/>
      <c r="P869" s="19"/>
      <c r="Q869" s="19"/>
      <c r="U869" s="20"/>
      <c r="V869" s="28"/>
    </row>
    <row r="870" spans="11:22" x14ac:dyDescent="0.45">
      <c r="K870" s="19"/>
      <c r="L870" s="20"/>
      <c r="M870" s="19"/>
      <c r="N870" s="29"/>
      <c r="O870" s="19"/>
      <c r="P870" s="19"/>
      <c r="Q870" s="19"/>
      <c r="U870" s="20"/>
      <c r="V870" s="28"/>
    </row>
    <row r="871" spans="11:22" x14ac:dyDescent="0.45">
      <c r="K871" s="19"/>
      <c r="L871" s="20"/>
      <c r="M871" s="19"/>
      <c r="N871" s="29"/>
      <c r="O871" s="19"/>
      <c r="P871" s="19"/>
      <c r="Q871" s="19"/>
      <c r="U871" s="20"/>
      <c r="V871" s="28"/>
    </row>
    <row r="872" spans="11:22" x14ac:dyDescent="0.45">
      <c r="K872" s="19"/>
      <c r="L872" s="20"/>
      <c r="M872" s="19"/>
      <c r="N872" s="29"/>
      <c r="O872" s="19"/>
      <c r="P872" s="19"/>
      <c r="Q872" s="19"/>
      <c r="U872" s="20"/>
      <c r="V872" s="28"/>
    </row>
    <row r="873" spans="11:22" x14ac:dyDescent="0.45">
      <c r="K873" s="19"/>
      <c r="L873" s="20"/>
      <c r="M873" s="19"/>
      <c r="N873" s="29"/>
      <c r="O873" s="19"/>
      <c r="P873" s="19"/>
      <c r="Q873" s="19"/>
      <c r="U873" s="20"/>
      <c r="V873" s="28"/>
    </row>
    <row r="874" spans="11:22" x14ac:dyDescent="0.45">
      <c r="K874" s="19"/>
      <c r="L874" s="20"/>
      <c r="M874" s="19"/>
      <c r="N874" s="29"/>
      <c r="O874" s="19"/>
      <c r="P874" s="19"/>
      <c r="Q874" s="19"/>
      <c r="U874" s="20"/>
      <c r="V874" s="28"/>
    </row>
    <row r="875" spans="11:22" x14ac:dyDescent="0.45">
      <c r="K875" s="19"/>
      <c r="L875" s="20"/>
      <c r="M875" s="19"/>
      <c r="N875" s="29"/>
      <c r="O875" s="19"/>
      <c r="P875" s="19"/>
      <c r="Q875" s="19"/>
      <c r="U875" s="20"/>
      <c r="V875" s="28"/>
    </row>
    <row r="876" spans="11:22" x14ac:dyDescent="0.45">
      <c r="K876" s="19"/>
      <c r="L876" s="20"/>
      <c r="M876" s="19"/>
      <c r="N876" s="29"/>
      <c r="O876" s="19"/>
      <c r="P876" s="19"/>
      <c r="Q876" s="19"/>
      <c r="U876" s="20"/>
      <c r="V876" s="28"/>
    </row>
    <row r="877" spans="11:22" x14ac:dyDescent="0.45">
      <c r="K877" s="19"/>
      <c r="L877" s="20"/>
      <c r="M877" s="19"/>
      <c r="N877" s="29"/>
      <c r="O877" s="19"/>
      <c r="P877" s="19"/>
      <c r="Q877" s="19"/>
      <c r="U877" s="20"/>
      <c r="V877" s="28"/>
    </row>
    <row r="878" spans="11:22" x14ac:dyDescent="0.45">
      <c r="K878" s="19"/>
      <c r="L878" s="20"/>
      <c r="M878" s="19"/>
      <c r="N878" s="29"/>
      <c r="O878" s="19"/>
      <c r="P878" s="19"/>
      <c r="Q878" s="19"/>
      <c r="U878" s="20"/>
      <c r="V878" s="28"/>
    </row>
    <row r="879" spans="11:22" x14ac:dyDescent="0.45">
      <c r="K879" s="19"/>
      <c r="L879" s="20"/>
      <c r="M879" s="19"/>
      <c r="N879" s="29"/>
      <c r="O879" s="19"/>
      <c r="P879" s="19"/>
      <c r="Q879" s="19"/>
      <c r="U879" s="20"/>
      <c r="V879" s="28"/>
    </row>
    <row r="880" spans="11:22" x14ac:dyDescent="0.45">
      <c r="K880" s="19"/>
      <c r="L880" s="20"/>
      <c r="M880" s="19"/>
      <c r="N880" s="29"/>
      <c r="O880" s="19"/>
      <c r="P880" s="19"/>
      <c r="Q880" s="19"/>
      <c r="U880" s="20"/>
      <c r="V880" s="28"/>
    </row>
    <row r="881" spans="11:22" x14ac:dyDescent="0.45">
      <c r="K881" s="19"/>
      <c r="L881" s="20"/>
      <c r="M881" s="19"/>
      <c r="N881" s="29"/>
      <c r="O881" s="19"/>
      <c r="P881" s="19"/>
      <c r="Q881" s="19"/>
      <c r="U881" s="20"/>
      <c r="V881" s="28"/>
    </row>
    <row r="882" spans="11:22" x14ac:dyDescent="0.45">
      <c r="K882" s="19"/>
      <c r="L882" s="20"/>
      <c r="M882" s="19"/>
      <c r="N882" s="29"/>
      <c r="O882" s="19"/>
      <c r="P882" s="19"/>
      <c r="Q882" s="19"/>
      <c r="U882" s="20"/>
      <c r="V882" s="28"/>
    </row>
    <row r="883" spans="11:22" x14ac:dyDescent="0.45">
      <c r="K883" s="19"/>
      <c r="L883" s="20"/>
      <c r="M883" s="19"/>
      <c r="N883" s="29"/>
      <c r="O883" s="19"/>
      <c r="P883" s="19"/>
      <c r="Q883" s="19"/>
      <c r="U883" s="20"/>
      <c r="V883" s="28"/>
    </row>
    <row r="884" spans="11:22" x14ac:dyDescent="0.45">
      <c r="K884" s="19"/>
      <c r="L884" s="20"/>
      <c r="M884" s="19"/>
      <c r="N884" s="29"/>
      <c r="O884" s="19"/>
      <c r="P884" s="19"/>
      <c r="Q884" s="19"/>
      <c r="U884" s="20"/>
      <c r="V884" s="28"/>
    </row>
    <row r="885" spans="11:22" x14ac:dyDescent="0.45">
      <c r="K885" s="19"/>
      <c r="L885" s="20"/>
      <c r="M885" s="19"/>
      <c r="N885" s="29"/>
      <c r="O885" s="19"/>
      <c r="P885" s="19"/>
      <c r="Q885" s="19"/>
      <c r="U885" s="20"/>
      <c r="V885" s="28"/>
    </row>
    <row r="886" spans="11:22" x14ac:dyDescent="0.45">
      <c r="K886" s="19"/>
      <c r="L886" s="20"/>
      <c r="M886" s="19"/>
      <c r="N886" s="29"/>
      <c r="O886" s="19"/>
      <c r="P886" s="19"/>
      <c r="Q886" s="19"/>
      <c r="U886" s="20"/>
      <c r="V886" s="28"/>
    </row>
    <row r="887" spans="11:22" x14ac:dyDescent="0.45">
      <c r="K887" s="19"/>
      <c r="L887" s="20"/>
      <c r="M887" s="19"/>
      <c r="N887" s="29"/>
      <c r="O887" s="19"/>
      <c r="P887" s="19"/>
      <c r="Q887" s="19"/>
      <c r="U887" s="20"/>
      <c r="V887" s="28"/>
    </row>
    <row r="888" spans="11:22" x14ac:dyDescent="0.45">
      <c r="K888" s="19"/>
      <c r="L888" s="20"/>
      <c r="M888" s="19"/>
      <c r="N888" s="29"/>
      <c r="O888" s="19"/>
      <c r="P888" s="19"/>
      <c r="Q888" s="19"/>
      <c r="U888" s="20"/>
      <c r="V888" s="28"/>
    </row>
    <row r="889" spans="11:22" x14ac:dyDescent="0.45">
      <c r="K889" s="19"/>
      <c r="L889" s="20"/>
      <c r="M889" s="19"/>
      <c r="N889" s="29"/>
      <c r="O889" s="19"/>
      <c r="P889" s="19"/>
      <c r="Q889" s="19"/>
      <c r="U889" s="20"/>
      <c r="V889" s="28"/>
    </row>
    <row r="890" spans="11:22" x14ac:dyDescent="0.45">
      <c r="K890" s="19"/>
      <c r="L890" s="20"/>
      <c r="M890" s="19"/>
      <c r="N890" s="29"/>
      <c r="O890" s="19"/>
      <c r="P890" s="19"/>
      <c r="Q890" s="19"/>
      <c r="U890" s="20"/>
      <c r="V890" s="28"/>
    </row>
    <row r="891" spans="11:22" x14ac:dyDescent="0.45">
      <c r="K891" s="19"/>
      <c r="L891" s="20"/>
      <c r="M891" s="19"/>
      <c r="N891" s="29"/>
      <c r="O891" s="19"/>
      <c r="P891" s="19"/>
      <c r="Q891" s="19"/>
      <c r="U891" s="20"/>
      <c r="V891" s="28"/>
    </row>
    <row r="892" spans="11:22" x14ac:dyDescent="0.45">
      <c r="K892" s="19"/>
      <c r="L892" s="20"/>
      <c r="M892" s="19"/>
      <c r="N892" s="29"/>
      <c r="O892" s="19"/>
      <c r="P892" s="19"/>
      <c r="Q892" s="19"/>
      <c r="U892" s="20"/>
      <c r="V892" s="28"/>
    </row>
    <row r="893" spans="11:22" x14ac:dyDescent="0.45">
      <c r="K893" s="19"/>
      <c r="L893" s="20"/>
      <c r="M893" s="19"/>
      <c r="N893" s="29"/>
      <c r="O893" s="19"/>
      <c r="P893" s="19"/>
      <c r="Q893" s="19"/>
      <c r="U893" s="20"/>
      <c r="V893" s="28"/>
    </row>
    <row r="894" spans="11:22" x14ac:dyDescent="0.45">
      <c r="K894" s="19"/>
      <c r="L894" s="20"/>
      <c r="M894" s="19"/>
      <c r="N894" s="29"/>
      <c r="O894" s="19"/>
      <c r="P894" s="19"/>
      <c r="Q894" s="19"/>
      <c r="U894" s="20"/>
      <c r="V894" s="28"/>
    </row>
    <row r="895" spans="11:22" x14ac:dyDescent="0.45">
      <c r="K895" s="19"/>
      <c r="L895" s="20"/>
      <c r="M895" s="19"/>
      <c r="N895" s="29"/>
      <c r="O895" s="19"/>
      <c r="P895" s="19"/>
      <c r="Q895" s="19"/>
      <c r="U895" s="20"/>
      <c r="V895" s="28"/>
    </row>
    <row r="896" spans="11:22" x14ac:dyDescent="0.45">
      <c r="K896" s="19"/>
      <c r="L896" s="20"/>
      <c r="M896" s="19"/>
      <c r="N896" s="29"/>
      <c r="O896" s="19"/>
      <c r="P896" s="19"/>
      <c r="Q896" s="19"/>
      <c r="U896" s="20"/>
      <c r="V896" s="28"/>
    </row>
    <row r="897" spans="11:22" x14ac:dyDescent="0.45">
      <c r="K897" s="19"/>
      <c r="L897" s="20"/>
      <c r="M897" s="19"/>
      <c r="N897" s="29"/>
      <c r="O897" s="19"/>
      <c r="P897" s="19"/>
      <c r="Q897" s="19"/>
      <c r="U897" s="20"/>
      <c r="V897" s="28"/>
    </row>
    <row r="898" spans="11:22" x14ac:dyDescent="0.45">
      <c r="K898" s="19"/>
      <c r="L898" s="20"/>
      <c r="M898" s="19"/>
      <c r="N898" s="29"/>
      <c r="O898" s="19"/>
      <c r="P898" s="19"/>
      <c r="Q898" s="19"/>
      <c r="U898" s="20"/>
      <c r="V898" s="28"/>
    </row>
    <row r="899" spans="11:22" x14ac:dyDescent="0.45">
      <c r="K899" s="19"/>
      <c r="L899" s="20"/>
      <c r="M899" s="19"/>
      <c r="N899" s="29"/>
      <c r="O899" s="19"/>
      <c r="P899" s="19"/>
      <c r="Q899" s="19"/>
      <c r="U899" s="20"/>
      <c r="V899" s="28"/>
    </row>
    <row r="900" spans="11:22" x14ac:dyDescent="0.45">
      <c r="K900" s="19"/>
      <c r="L900" s="20"/>
      <c r="M900" s="19"/>
      <c r="N900" s="29"/>
      <c r="O900" s="19"/>
      <c r="P900" s="19"/>
      <c r="Q900" s="19"/>
      <c r="U900" s="20"/>
      <c r="V900" s="28"/>
    </row>
    <row r="901" spans="11:22" x14ac:dyDescent="0.45">
      <c r="K901" s="19"/>
      <c r="L901" s="20"/>
      <c r="M901" s="19"/>
      <c r="N901" s="29"/>
      <c r="O901" s="19"/>
      <c r="P901" s="19"/>
      <c r="Q901" s="19"/>
      <c r="U901" s="20"/>
      <c r="V901" s="28"/>
    </row>
    <row r="902" spans="11:22" x14ac:dyDescent="0.45">
      <c r="K902" s="19"/>
      <c r="L902" s="20"/>
      <c r="M902" s="19"/>
      <c r="N902" s="29"/>
      <c r="O902" s="19"/>
      <c r="P902" s="19"/>
      <c r="Q902" s="19"/>
      <c r="U902" s="20"/>
      <c r="V902" s="28"/>
    </row>
    <row r="903" spans="11:22" x14ac:dyDescent="0.45">
      <c r="K903" s="19"/>
      <c r="L903" s="20"/>
      <c r="M903" s="19"/>
      <c r="N903" s="29"/>
      <c r="O903" s="19"/>
      <c r="P903" s="19"/>
      <c r="Q903" s="19"/>
      <c r="U903" s="20"/>
      <c r="V903" s="28"/>
    </row>
    <row r="904" spans="11:22" x14ac:dyDescent="0.45">
      <c r="K904" s="19"/>
      <c r="L904" s="20"/>
      <c r="M904" s="19"/>
      <c r="N904" s="29"/>
      <c r="O904" s="19"/>
      <c r="P904" s="19"/>
      <c r="Q904" s="19"/>
      <c r="U904" s="20"/>
      <c r="V904" s="28"/>
    </row>
    <row r="905" spans="11:22" x14ac:dyDescent="0.45">
      <c r="K905" s="19"/>
      <c r="L905" s="20"/>
      <c r="M905" s="19"/>
      <c r="N905" s="29"/>
      <c r="O905" s="19"/>
      <c r="P905" s="19"/>
      <c r="Q905" s="19"/>
      <c r="U905" s="20"/>
      <c r="V905" s="28"/>
    </row>
    <row r="906" spans="11:22" x14ac:dyDescent="0.45">
      <c r="K906" s="19"/>
      <c r="L906" s="20"/>
      <c r="M906" s="19"/>
      <c r="N906" s="29"/>
      <c r="O906" s="19"/>
      <c r="P906" s="19"/>
      <c r="Q906" s="19"/>
      <c r="U906" s="20"/>
      <c r="V906" s="28"/>
    </row>
    <row r="907" spans="11:22" x14ac:dyDescent="0.45">
      <c r="K907" s="19"/>
      <c r="L907" s="20"/>
      <c r="M907" s="19"/>
      <c r="N907" s="29"/>
      <c r="O907" s="19"/>
      <c r="P907" s="19"/>
      <c r="Q907" s="19"/>
      <c r="U907" s="20"/>
      <c r="V907" s="28"/>
    </row>
    <row r="908" spans="11:22" x14ac:dyDescent="0.45">
      <c r="K908" s="19"/>
      <c r="L908" s="20"/>
      <c r="M908" s="19"/>
      <c r="N908" s="29"/>
      <c r="O908" s="19"/>
      <c r="P908" s="19"/>
      <c r="Q908" s="19"/>
      <c r="U908" s="20"/>
      <c r="V908" s="28"/>
    </row>
    <row r="909" spans="11:22" x14ac:dyDescent="0.45">
      <c r="K909" s="19"/>
      <c r="L909" s="20"/>
      <c r="M909" s="19"/>
      <c r="N909" s="29"/>
      <c r="O909" s="19"/>
      <c r="P909" s="19"/>
      <c r="Q909" s="19"/>
      <c r="U909" s="20"/>
      <c r="V909" s="28"/>
    </row>
    <row r="910" spans="11:22" x14ac:dyDescent="0.45">
      <c r="K910" s="19"/>
      <c r="L910" s="20"/>
      <c r="M910" s="19"/>
      <c r="N910" s="29"/>
      <c r="O910" s="19"/>
      <c r="P910" s="19"/>
      <c r="Q910" s="19"/>
      <c r="U910" s="20"/>
      <c r="V910" s="28"/>
    </row>
    <row r="911" spans="11:22" x14ac:dyDescent="0.45">
      <c r="K911" s="19"/>
      <c r="L911" s="20"/>
      <c r="M911" s="19"/>
      <c r="N911" s="29"/>
      <c r="O911" s="19"/>
      <c r="P911" s="19"/>
      <c r="Q911" s="19"/>
      <c r="U911" s="20"/>
      <c r="V911" s="28"/>
    </row>
    <row r="912" spans="11:22" x14ac:dyDescent="0.45">
      <c r="K912" s="19"/>
      <c r="L912" s="20"/>
      <c r="M912" s="19"/>
      <c r="N912" s="29"/>
      <c r="O912" s="19"/>
      <c r="P912" s="19"/>
      <c r="Q912" s="19"/>
      <c r="U912" s="20"/>
      <c r="V912" s="28"/>
    </row>
    <row r="913" spans="11:22" x14ac:dyDescent="0.45">
      <c r="K913" s="19"/>
      <c r="L913" s="20"/>
      <c r="M913" s="19"/>
      <c r="N913" s="29"/>
      <c r="O913" s="19"/>
      <c r="P913" s="19"/>
      <c r="Q913" s="19"/>
      <c r="U913" s="20"/>
      <c r="V913" s="28"/>
    </row>
    <row r="914" spans="11:22" x14ac:dyDescent="0.45">
      <c r="K914" s="19"/>
      <c r="L914" s="20"/>
      <c r="M914" s="19"/>
      <c r="N914" s="29"/>
      <c r="O914" s="19"/>
      <c r="P914" s="19"/>
      <c r="Q914" s="19"/>
      <c r="U914" s="20"/>
      <c r="V914" s="28"/>
    </row>
    <row r="915" spans="11:22" x14ac:dyDescent="0.45">
      <c r="K915" s="19"/>
      <c r="L915" s="20"/>
      <c r="M915" s="19"/>
      <c r="N915" s="29"/>
      <c r="O915" s="19"/>
      <c r="P915" s="19"/>
      <c r="Q915" s="19"/>
      <c r="U915" s="20"/>
      <c r="V915" s="28"/>
    </row>
    <row r="916" spans="11:22" x14ac:dyDescent="0.45">
      <c r="K916" s="19"/>
      <c r="L916" s="20"/>
      <c r="M916" s="19"/>
      <c r="N916" s="29"/>
      <c r="O916" s="19"/>
      <c r="P916" s="19"/>
      <c r="Q916" s="19"/>
      <c r="U916" s="20"/>
      <c r="V916" s="28"/>
    </row>
    <row r="917" spans="11:22" x14ac:dyDescent="0.45">
      <c r="K917" s="19"/>
      <c r="L917" s="20"/>
      <c r="M917" s="19"/>
      <c r="N917" s="29"/>
      <c r="O917" s="19"/>
      <c r="P917" s="19"/>
      <c r="Q917" s="19"/>
      <c r="U917" s="20"/>
      <c r="V917" s="28"/>
    </row>
    <row r="918" spans="11:22" x14ac:dyDescent="0.45">
      <c r="K918" s="19"/>
      <c r="L918" s="20"/>
      <c r="M918" s="19"/>
      <c r="N918" s="29"/>
      <c r="O918" s="19"/>
      <c r="P918" s="19"/>
      <c r="Q918" s="19"/>
      <c r="U918" s="20"/>
      <c r="V918" s="28"/>
    </row>
    <row r="919" spans="11:22" x14ac:dyDescent="0.45">
      <c r="K919" s="19"/>
      <c r="L919" s="20"/>
      <c r="M919" s="19"/>
      <c r="N919" s="29"/>
      <c r="O919" s="19"/>
      <c r="P919" s="19"/>
      <c r="Q919" s="19"/>
      <c r="U919" s="20"/>
      <c r="V919" s="28"/>
    </row>
    <row r="920" spans="11:22" x14ac:dyDescent="0.45">
      <c r="K920" s="19"/>
      <c r="L920" s="20"/>
      <c r="M920" s="19"/>
      <c r="N920" s="29"/>
      <c r="O920" s="19"/>
      <c r="P920" s="19"/>
      <c r="Q920" s="19"/>
      <c r="U920" s="20"/>
      <c r="V920" s="28"/>
    </row>
    <row r="921" spans="11:22" x14ac:dyDescent="0.45">
      <c r="K921" s="19"/>
      <c r="L921" s="20"/>
      <c r="M921" s="19"/>
      <c r="N921" s="29"/>
      <c r="O921" s="19"/>
      <c r="P921" s="19"/>
      <c r="Q921" s="19"/>
      <c r="U921" s="20"/>
      <c r="V921" s="28"/>
    </row>
    <row r="922" spans="11:22" x14ac:dyDescent="0.45">
      <c r="K922" s="19"/>
      <c r="L922" s="20"/>
      <c r="M922" s="19"/>
      <c r="N922" s="29"/>
      <c r="O922" s="19"/>
      <c r="P922" s="19"/>
      <c r="Q922" s="19"/>
      <c r="U922" s="20"/>
      <c r="V922" s="28"/>
    </row>
    <row r="923" spans="11:22" x14ac:dyDescent="0.45">
      <c r="K923" s="19"/>
      <c r="L923" s="20"/>
      <c r="M923" s="19"/>
      <c r="N923" s="29"/>
      <c r="O923" s="19"/>
      <c r="P923" s="19"/>
      <c r="Q923" s="19"/>
      <c r="U923" s="20"/>
      <c r="V923" s="28"/>
    </row>
    <row r="924" spans="11:22" x14ac:dyDescent="0.45">
      <c r="K924" s="19"/>
      <c r="L924" s="20"/>
      <c r="M924" s="19"/>
      <c r="N924" s="29"/>
      <c r="O924" s="19"/>
      <c r="P924" s="19"/>
      <c r="Q924" s="19"/>
      <c r="U924" s="20"/>
      <c r="V924" s="28"/>
    </row>
    <row r="925" spans="11:22" x14ac:dyDescent="0.45">
      <c r="K925" s="19"/>
      <c r="L925" s="20"/>
      <c r="M925" s="19"/>
      <c r="N925" s="29"/>
      <c r="O925" s="19"/>
      <c r="P925" s="19"/>
      <c r="Q925" s="19"/>
      <c r="U925" s="20"/>
      <c r="V925" s="28"/>
    </row>
    <row r="926" spans="11:22" x14ac:dyDescent="0.45">
      <c r="K926" s="19"/>
      <c r="L926" s="20"/>
      <c r="M926" s="19"/>
      <c r="N926" s="29"/>
      <c r="O926" s="19"/>
      <c r="P926" s="19"/>
      <c r="Q926" s="19"/>
      <c r="U926" s="20"/>
      <c r="V926" s="28"/>
    </row>
    <row r="927" spans="11:22" x14ac:dyDescent="0.45">
      <c r="K927" s="19"/>
      <c r="L927" s="20"/>
      <c r="M927" s="19"/>
      <c r="N927" s="29"/>
      <c r="O927" s="19"/>
      <c r="P927" s="19"/>
      <c r="Q927" s="19"/>
      <c r="U927" s="20"/>
      <c r="V927" s="28"/>
    </row>
    <row r="928" spans="11:22" x14ac:dyDescent="0.45">
      <c r="K928" s="19"/>
      <c r="L928" s="20"/>
      <c r="M928" s="19"/>
      <c r="N928" s="29"/>
      <c r="O928" s="19"/>
      <c r="P928" s="19"/>
      <c r="Q928" s="19"/>
      <c r="U928" s="20"/>
      <c r="V928" s="28"/>
    </row>
    <row r="929" spans="11:22" x14ac:dyDescent="0.45">
      <c r="K929" s="19"/>
      <c r="L929" s="20"/>
      <c r="M929" s="19"/>
      <c r="N929" s="29"/>
      <c r="O929" s="19"/>
      <c r="P929" s="19"/>
      <c r="Q929" s="19"/>
      <c r="U929" s="20"/>
      <c r="V929" s="28"/>
    </row>
    <row r="930" spans="11:22" x14ac:dyDescent="0.45">
      <c r="K930" s="19"/>
      <c r="L930" s="20"/>
      <c r="M930" s="19"/>
      <c r="N930" s="29"/>
      <c r="O930" s="19"/>
      <c r="P930" s="19"/>
      <c r="Q930" s="19"/>
      <c r="U930" s="20"/>
      <c r="V930" s="28"/>
    </row>
    <row r="931" spans="11:22" x14ac:dyDescent="0.45">
      <c r="K931" s="19"/>
      <c r="L931" s="20"/>
      <c r="M931" s="19"/>
      <c r="N931" s="29"/>
      <c r="O931" s="19"/>
      <c r="P931" s="19"/>
      <c r="Q931" s="19"/>
      <c r="U931" s="20"/>
      <c r="V931" s="28"/>
    </row>
    <row r="932" spans="11:22" x14ac:dyDescent="0.45">
      <c r="K932" s="19"/>
      <c r="L932" s="20"/>
      <c r="M932" s="19"/>
      <c r="N932" s="29"/>
      <c r="O932" s="19"/>
      <c r="P932" s="19"/>
      <c r="Q932" s="19"/>
      <c r="U932" s="20"/>
      <c r="V932" s="28"/>
    </row>
    <row r="933" spans="11:22" x14ac:dyDescent="0.45">
      <c r="K933" s="19"/>
      <c r="L933" s="20"/>
      <c r="M933" s="19"/>
      <c r="N933" s="29"/>
      <c r="O933" s="19"/>
      <c r="P933" s="19"/>
      <c r="Q933" s="19"/>
      <c r="U933" s="20"/>
      <c r="V933" s="28"/>
    </row>
    <row r="934" spans="11:22" x14ac:dyDescent="0.45">
      <c r="K934" s="19"/>
      <c r="L934" s="20"/>
      <c r="M934" s="19"/>
      <c r="N934" s="29"/>
      <c r="O934" s="19"/>
      <c r="P934" s="19"/>
      <c r="Q934" s="19"/>
      <c r="U934" s="20"/>
      <c r="V934" s="28"/>
    </row>
    <row r="935" spans="11:22" x14ac:dyDescent="0.45">
      <c r="K935" s="19"/>
      <c r="L935" s="20"/>
      <c r="M935" s="19"/>
      <c r="N935" s="29"/>
      <c r="O935" s="19"/>
      <c r="P935" s="19"/>
      <c r="Q935" s="19"/>
      <c r="U935" s="20"/>
      <c r="V935" s="28"/>
    </row>
    <row r="936" spans="11:22" x14ac:dyDescent="0.45">
      <c r="K936" s="19"/>
      <c r="L936" s="20"/>
      <c r="M936" s="19"/>
      <c r="N936" s="29"/>
      <c r="O936" s="19"/>
      <c r="P936" s="19"/>
      <c r="Q936" s="19"/>
      <c r="U936" s="20"/>
      <c r="V936" s="28"/>
    </row>
    <row r="937" spans="11:22" x14ac:dyDescent="0.45">
      <c r="K937" s="19"/>
      <c r="L937" s="20"/>
      <c r="M937" s="19"/>
      <c r="N937" s="29"/>
      <c r="O937" s="19"/>
      <c r="P937" s="19"/>
      <c r="Q937" s="19"/>
      <c r="U937" s="20"/>
      <c r="V937" s="28"/>
    </row>
    <row r="938" spans="11:22" x14ac:dyDescent="0.45">
      <c r="K938" s="19"/>
      <c r="L938" s="20"/>
      <c r="M938" s="19"/>
      <c r="N938" s="29"/>
      <c r="O938" s="19"/>
      <c r="P938" s="19"/>
      <c r="Q938" s="19"/>
      <c r="U938" s="20"/>
      <c r="V938" s="28"/>
    </row>
    <row r="939" spans="11:22" x14ac:dyDescent="0.45">
      <c r="K939" s="19"/>
      <c r="L939" s="20"/>
      <c r="M939" s="19"/>
      <c r="N939" s="29"/>
      <c r="O939" s="19"/>
      <c r="P939" s="19"/>
      <c r="Q939" s="19"/>
      <c r="U939" s="20"/>
      <c r="V939" s="28"/>
    </row>
    <row r="940" spans="11:22" x14ac:dyDescent="0.45">
      <c r="K940" s="19"/>
      <c r="L940" s="20"/>
      <c r="M940" s="19"/>
      <c r="N940" s="29"/>
      <c r="O940" s="19"/>
      <c r="P940" s="19"/>
      <c r="Q940" s="19"/>
      <c r="U940" s="20"/>
      <c r="V940" s="28"/>
    </row>
    <row r="941" spans="11:22" x14ac:dyDescent="0.45">
      <c r="K941" s="19"/>
      <c r="L941" s="20"/>
      <c r="M941" s="19"/>
      <c r="N941" s="29"/>
      <c r="O941" s="19"/>
      <c r="P941" s="19"/>
      <c r="Q941" s="19"/>
      <c r="U941" s="20"/>
      <c r="V941" s="28"/>
    </row>
    <row r="942" spans="11:22" x14ac:dyDescent="0.45">
      <c r="K942" s="19"/>
      <c r="L942" s="20"/>
      <c r="M942" s="19"/>
      <c r="N942" s="29"/>
      <c r="O942" s="19"/>
      <c r="P942" s="19"/>
      <c r="Q942" s="19"/>
      <c r="U942" s="20"/>
      <c r="V942" s="28"/>
    </row>
    <row r="943" spans="11:22" x14ac:dyDescent="0.45">
      <c r="K943" s="19"/>
      <c r="L943" s="20"/>
      <c r="M943" s="19"/>
      <c r="N943" s="29"/>
      <c r="O943" s="19"/>
      <c r="P943" s="19"/>
      <c r="Q943" s="19"/>
      <c r="U943" s="20"/>
      <c r="V943" s="28"/>
    </row>
    <row r="944" spans="11:22" x14ac:dyDescent="0.45">
      <c r="K944" s="19"/>
      <c r="L944" s="20"/>
      <c r="M944" s="19"/>
      <c r="N944" s="29"/>
      <c r="O944" s="19"/>
      <c r="P944" s="19"/>
      <c r="Q944" s="19"/>
      <c r="U944" s="20"/>
      <c r="V944" s="28"/>
    </row>
    <row r="945" spans="11:22" x14ac:dyDescent="0.45">
      <c r="K945" s="19"/>
      <c r="L945" s="20"/>
      <c r="M945" s="19"/>
      <c r="N945" s="29"/>
      <c r="O945" s="19"/>
      <c r="P945" s="19"/>
      <c r="Q945" s="19"/>
      <c r="U945" s="20"/>
      <c r="V945" s="28"/>
    </row>
    <row r="946" spans="11:22" x14ac:dyDescent="0.45">
      <c r="K946" s="19"/>
      <c r="L946" s="20"/>
      <c r="M946" s="19"/>
      <c r="N946" s="29"/>
      <c r="O946" s="19"/>
      <c r="P946" s="19"/>
      <c r="Q946" s="19"/>
      <c r="U946" s="20"/>
      <c r="V946" s="28"/>
    </row>
    <row r="947" spans="11:22" x14ac:dyDescent="0.45">
      <c r="K947" s="19"/>
      <c r="L947" s="20"/>
      <c r="M947" s="19"/>
      <c r="N947" s="29"/>
      <c r="O947" s="19"/>
      <c r="P947" s="19"/>
      <c r="Q947" s="19"/>
      <c r="U947" s="20"/>
      <c r="V947" s="28"/>
    </row>
    <row r="948" spans="11:22" x14ac:dyDescent="0.45">
      <c r="K948" s="19"/>
      <c r="L948" s="20"/>
      <c r="M948" s="19"/>
      <c r="N948" s="29"/>
      <c r="O948" s="19"/>
      <c r="P948" s="19"/>
      <c r="Q948" s="19"/>
      <c r="U948" s="20"/>
      <c r="V948" s="28"/>
    </row>
    <row r="949" spans="11:22" x14ac:dyDescent="0.45">
      <c r="K949" s="19"/>
      <c r="L949" s="20"/>
      <c r="M949" s="19"/>
      <c r="N949" s="29"/>
      <c r="O949" s="19"/>
      <c r="P949" s="19"/>
      <c r="Q949" s="19"/>
      <c r="U949" s="20"/>
      <c r="V949" s="28"/>
    </row>
    <row r="950" spans="11:22" x14ac:dyDescent="0.45">
      <c r="K950" s="19"/>
      <c r="L950" s="20"/>
      <c r="M950" s="19"/>
      <c r="N950" s="29"/>
      <c r="O950" s="19"/>
      <c r="P950" s="19"/>
      <c r="Q950" s="19"/>
      <c r="U950" s="20"/>
      <c r="V950" s="28"/>
    </row>
    <row r="951" spans="11:22" x14ac:dyDescent="0.45">
      <c r="K951" s="19"/>
      <c r="L951" s="20"/>
      <c r="M951" s="19"/>
      <c r="N951" s="29"/>
      <c r="O951" s="19"/>
      <c r="P951" s="19"/>
      <c r="Q951" s="19"/>
      <c r="U951" s="20"/>
      <c r="V951" s="28"/>
    </row>
    <row r="952" spans="11:22" x14ac:dyDescent="0.45">
      <c r="K952" s="19"/>
      <c r="L952" s="20"/>
      <c r="M952" s="19"/>
      <c r="N952" s="29"/>
      <c r="O952" s="19"/>
      <c r="P952" s="19"/>
      <c r="Q952" s="19"/>
      <c r="U952" s="20"/>
      <c r="V952" s="28"/>
    </row>
    <row r="953" spans="11:22" x14ac:dyDescent="0.45">
      <c r="K953" s="19"/>
      <c r="L953" s="20"/>
      <c r="M953" s="19"/>
      <c r="N953" s="29"/>
      <c r="O953" s="19"/>
      <c r="P953" s="19"/>
      <c r="Q953" s="19"/>
      <c r="U953" s="20"/>
      <c r="V953" s="28"/>
    </row>
    <row r="954" spans="11:22" x14ac:dyDescent="0.45">
      <c r="K954" s="19"/>
      <c r="L954" s="20"/>
      <c r="M954" s="19"/>
      <c r="N954" s="29"/>
      <c r="O954" s="19"/>
      <c r="P954" s="19"/>
      <c r="Q954" s="19"/>
      <c r="U954" s="20"/>
      <c r="V954" s="28"/>
    </row>
    <row r="955" spans="11:22" x14ac:dyDescent="0.45">
      <c r="K955" s="19"/>
      <c r="L955" s="20"/>
      <c r="M955" s="19"/>
      <c r="N955" s="29"/>
      <c r="O955" s="19"/>
      <c r="P955" s="19"/>
      <c r="Q955" s="19"/>
      <c r="U955" s="20"/>
      <c r="V955" s="28"/>
    </row>
    <row r="956" spans="11:22" x14ac:dyDescent="0.45">
      <c r="K956" s="19"/>
      <c r="L956" s="20"/>
      <c r="M956" s="19"/>
      <c r="N956" s="29"/>
      <c r="O956" s="19"/>
      <c r="P956" s="19"/>
      <c r="Q956" s="19"/>
      <c r="U956" s="20"/>
      <c r="V956" s="28"/>
    </row>
    <row r="957" spans="11:22" x14ac:dyDescent="0.45">
      <c r="K957" s="19"/>
      <c r="L957" s="20"/>
      <c r="M957" s="19"/>
      <c r="N957" s="29"/>
      <c r="O957" s="19"/>
      <c r="P957" s="19"/>
      <c r="Q957" s="19"/>
      <c r="U957" s="20"/>
      <c r="V957" s="28"/>
    </row>
    <row r="958" spans="11:22" x14ac:dyDescent="0.45">
      <c r="K958" s="19"/>
      <c r="L958" s="20"/>
      <c r="M958" s="19"/>
      <c r="N958" s="29"/>
      <c r="O958" s="19"/>
      <c r="P958" s="19"/>
      <c r="Q958" s="19"/>
      <c r="U958" s="20"/>
      <c r="V958" s="28"/>
    </row>
    <row r="959" spans="11:22" x14ac:dyDescent="0.45">
      <c r="K959" s="19"/>
      <c r="L959" s="20"/>
      <c r="M959" s="19"/>
      <c r="N959" s="29"/>
      <c r="O959" s="19"/>
      <c r="P959" s="19"/>
      <c r="Q959" s="19"/>
      <c r="U959" s="20"/>
      <c r="V959" s="28"/>
    </row>
    <row r="960" spans="11:22" x14ac:dyDescent="0.45">
      <c r="K960" s="19"/>
      <c r="L960" s="20"/>
      <c r="M960" s="19"/>
      <c r="N960" s="29"/>
      <c r="O960" s="19"/>
      <c r="P960" s="19"/>
      <c r="Q960" s="19"/>
      <c r="U960" s="20"/>
      <c r="V960" s="28"/>
    </row>
    <row r="961" spans="11:22" x14ac:dyDescent="0.45">
      <c r="K961" s="19"/>
      <c r="L961" s="20"/>
      <c r="M961" s="19"/>
      <c r="N961" s="29"/>
      <c r="O961" s="19"/>
      <c r="P961" s="19"/>
      <c r="Q961" s="19"/>
      <c r="U961" s="20"/>
      <c r="V961" s="28"/>
    </row>
    <row r="962" spans="11:22" x14ac:dyDescent="0.45">
      <c r="K962" s="19"/>
      <c r="L962" s="20"/>
      <c r="M962" s="19"/>
      <c r="N962" s="29"/>
      <c r="O962" s="19"/>
      <c r="P962" s="19"/>
      <c r="Q962" s="19"/>
      <c r="U962" s="20"/>
      <c r="V962" s="28"/>
    </row>
    <row r="963" spans="11:22" x14ac:dyDescent="0.45">
      <c r="K963" s="19"/>
      <c r="L963" s="20"/>
      <c r="M963" s="19"/>
      <c r="N963" s="29"/>
      <c r="O963" s="19"/>
      <c r="P963" s="19"/>
      <c r="Q963" s="19"/>
      <c r="U963" s="20"/>
      <c r="V963" s="28"/>
    </row>
    <row r="964" spans="11:22" x14ac:dyDescent="0.45">
      <c r="K964" s="19"/>
      <c r="L964" s="20"/>
      <c r="M964" s="19"/>
      <c r="N964" s="29"/>
      <c r="O964" s="19"/>
      <c r="P964" s="19"/>
      <c r="Q964" s="19"/>
      <c r="U964" s="20"/>
      <c r="V964" s="28"/>
    </row>
    <row r="965" spans="11:22" x14ac:dyDescent="0.45">
      <c r="K965" s="19"/>
      <c r="L965" s="20"/>
      <c r="M965" s="19"/>
      <c r="N965" s="29"/>
      <c r="O965" s="19"/>
      <c r="P965" s="19"/>
      <c r="Q965" s="19"/>
      <c r="U965" s="20"/>
      <c r="V965" s="28"/>
    </row>
    <row r="966" spans="11:22" x14ac:dyDescent="0.45">
      <c r="K966" s="19"/>
      <c r="L966" s="20"/>
      <c r="M966" s="19"/>
      <c r="N966" s="29"/>
      <c r="O966" s="19"/>
      <c r="P966" s="19"/>
      <c r="Q966" s="19"/>
      <c r="U966" s="20"/>
      <c r="V966" s="28"/>
    </row>
    <row r="967" spans="11:22" x14ac:dyDescent="0.45">
      <c r="K967" s="19"/>
      <c r="L967" s="20"/>
      <c r="M967" s="19"/>
      <c r="N967" s="29"/>
      <c r="O967" s="19"/>
      <c r="P967" s="19"/>
      <c r="Q967" s="19"/>
      <c r="U967" s="20"/>
      <c r="V967" s="28"/>
    </row>
    <row r="968" spans="11:22" x14ac:dyDescent="0.45">
      <c r="K968" s="19"/>
      <c r="L968" s="20"/>
      <c r="M968" s="19"/>
      <c r="N968" s="29"/>
      <c r="O968" s="19"/>
      <c r="P968" s="19"/>
      <c r="Q968" s="19"/>
      <c r="U968" s="20"/>
      <c r="V968" s="28"/>
    </row>
    <row r="969" spans="11:22" x14ac:dyDescent="0.45">
      <c r="K969" s="19"/>
      <c r="L969" s="20"/>
      <c r="M969" s="19"/>
      <c r="N969" s="29"/>
      <c r="O969" s="19"/>
      <c r="P969" s="19"/>
      <c r="Q969" s="19"/>
      <c r="U969" s="20"/>
      <c r="V969" s="28"/>
    </row>
    <row r="970" spans="11:22" x14ac:dyDescent="0.45">
      <c r="K970" s="19"/>
      <c r="L970" s="20"/>
      <c r="M970" s="19"/>
      <c r="N970" s="29"/>
      <c r="O970" s="19"/>
      <c r="P970" s="19"/>
      <c r="Q970" s="19"/>
      <c r="U970" s="20"/>
      <c r="V970" s="28"/>
    </row>
    <row r="971" spans="11:22" x14ac:dyDescent="0.45">
      <c r="K971" s="19"/>
      <c r="L971" s="20"/>
      <c r="M971" s="19"/>
      <c r="N971" s="29"/>
      <c r="O971" s="19"/>
      <c r="P971" s="19"/>
      <c r="Q971" s="19"/>
      <c r="U971" s="20"/>
      <c r="V971" s="28"/>
    </row>
    <row r="972" spans="11:22" x14ac:dyDescent="0.45">
      <c r="K972" s="19"/>
      <c r="L972" s="20"/>
      <c r="M972" s="19"/>
      <c r="N972" s="29"/>
      <c r="O972" s="19"/>
      <c r="P972" s="19"/>
      <c r="Q972" s="19"/>
      <c r="U972" s="20"/>
      <c r="V972" s="28"/>
    </row>
    <row r="973" spans="11:22" x14ac:dyDescent="0.45">
      <c r="K973" s="19"/>
      <c r="L973" s="20"/>
      <c r="M973" s="19"/>
      <c r="N973" s="29"/>
      <c r="O973" s="19"/>
      <c r="P973" s="19"/>
      <c r="Q973" s="19"/>
      <c r="U973" s="20"/>
      <c r="V973" s="28"/>
    </row>
    <row r="974" spans="11:22" x14ac:dyDescent="0.45">
      <c r="K974" s="19"/>
      <c r="L974" s="20"/>
      <c r="M974" s="19"/>
      <c r="N974" s="29"/>
      <c r="O974" s="19"/>
      <c r="P974" s="19"/>
      <c r="Q974" s="19"/>
      <c r="U974" s="20"/>
      <c r="V974" s="28"/>
    </row>
    <row r="975" spans="11:22" x14ac:dyDescent="0.45">
      <c r="K975" s="19"/>
      <c r="L975" s="20"/>
      <c r="M975" s="19"/>
      <c r="N975" s="29"/>
      <c r="O975" s="19"/>
      <c r="P975" s="19"/>
      <c r="Q975" s="19"/>
      <c r="U975" s="20"/>
      <c r="V975" s="28"/>
    </row>
    <row r="976" spans="11:22" x14ac:dyDescent="0.45">
      <c r="K976" s="19"/>
      <c r="L976" s="20"/>
      <c r="M976" s="19"/>
      <c r="N976" s="29"/>
      <c r="O976" s="19"/>
      <c r="P976" s="19"/>
      <c r="Q976" s="19"/>
      <c r="U976" s="20"/>
      <c r="V976" s="28"/>
    </row>
    <row r="977" spans="11:22" x14ac:dyDescent="0.45">
      <c r="K977" s="19"/>
      <c r="L977" s="20"/>
      <c r="M977" s="19"/>
      <c r="N977" s="29"/>
      <c r="O977" s="19"/>
      <c r="P977" s="19"/>
      <c r="Q977" s="19"/>
      <c r="U977" s="20"/>
      <c r="V977" s="28"/>
    </row>
    <row r="978" spans="11:22" x14ac:dyDescent="0.45">
      <c r="K978" s="19"/>
      <c r="L978" s="20"/>
      <c r="M978" s="19"/>
      <c r="N978" s="29"/>
      <c r="O978" s="19"/>
      <c r="P978" s="19"/>
      <c r="Q978" s="19"/>
      <c r="U978" s="20"/>
      <c r="V978" s="28"/>
    </row>
    <row r="979" spans="11:22" x14ac:dyDescent="0.45">
      <c r="K979" s="19"/>
      <c r="L979" s="20"/>
      <c r="M979" s="19"/>
      <c r="N979" s="29"/>
      <c r="O979" s="19"/>
      <c r="P979" s="19"/>
      <c r="Q979" s="19"/>
      <c r="U979" s="20"/>
      <c r="V979" s="28"/>
    </row>
    <row r="980" spans="11:22" x14ac:dyDescent="0.45">
      <c r="K980" s="19"/>
      <c r="L980" s="20"/>
      <c r="M980" s="19"/>
      <c r="N980" s="29"/>
      <c r="O980" s="19"/>
      <c r="P980" s="19"/>
      <c r="Q980" s="19"/>
      <c r="U980" s="20"/>
      <c r="V980" s="28"/>
    </row>
    <row r="981" spans="11:22" x14ac:dyDescent="0.45">
      <c r="K981" s="19"/>
      <c r="L981" s="20"/>
      <c r="M981" s="19"/>
      <c r="N981" s="29"/>
      <c r="O981" s="19"/>
      <c r="P981" s="19"/>
      <c r="Q981" s="19"/>
      <c r="U981" s="20"/>
      <c r="V981" s="28"/>
    </row>
    <row r="982" spans="11:22" x14ac:dyDescent="0.45">
      <c r="K982" s="19"/>
      <c r="L982" s="20"/>
      <c r="M982" s="19"/>
      <c r="N982" s="29"/>
      <c r="O982" s="19"/>
      <c r="P982" s="19"/>
      <c r="Q982" s="19"/>
      <c r="U982" s="20"/>
      <c r="V982" s="28"/>
    </row>
    <row r="983" spans="11:22" x14ac:dyDescent="0.45">
      <c r="K983" s="19"/>
      <c r="L983" s="20"/>
      <c r="M983" s="19"/>
      <c r="N983" s="29"/>
      <c r="O983" s="19"/>
      <c r="P983" s="19"/>
      <c r="Q983" s="19"/>
      <c r="U983" s="20"/>
      <c r="V983" s="28"/>
    </row>
    <row r="984" spans="11:22" x14ac:dyDescent="0.45">
      <c r="K984" s="19"/>
      <c r="L984" s="20"/>
      <c r="M984" s="19"/>
      <c r="N984" s="29"/>
      <c r="O984" s="19"/>
      <c r="P984" s="19"/>
      <c r="Q984" s="19"/>
      <c r="U984" s="20"/>
      <c r="V984" s="28"/>
    </row>
    <row r="985" spans="11:22" x14ac:dyDescent="0.45">
      <c r="K985" s="19"/>
      <c r="L985" s="20"/>
      <c r="M985" s="19"/>
      <c r="N985" s="29"/>
      <c r="O985" s="19"/>
      <c r="P985" s="19"/>
      <c r="Q985" s="19"/>
      <c r="U985" s="20"/>
      <c r="V985" s="28"/>
    </row>
    <row r="986" spans="11:22" x14ac:dyDescent="0.45">
      <c r="K986" s="19"/>
      <c r="L986" s="20"/>
      <c r="M986" s="19"/>
      <c r="N986" s="29"/>
      <c r="O986" s="19"/>
      <c r="P986" s="19"/>
      <c r="Q986" s="19"/>
      <c r="U986" s="20"/>
      <c r="V986" s="28"/>
    </row>
    <row r="987" spans="11:22" x14ac:dyDescent="0.45">
      <c r="K987" s="19"/>
      <c r="L987" s="20"/>
      <c r="M987" s="19"/>
      <c r="N987" s="29"/>
      <c r="O987" s="19"/>
      <c r="P987" s="19"/>
      <c r="Q987" s="19"/>
      <c r="U987" s="20"/>
      <c r="V987" s="28"/>
    </row>
    <row r="988" spans="11:22" x14ac:dyDescent="0.45">
      <c r="K988" s="19"/>
      <c r="L988" s="20"/>
      <c r="M988" s="19"/>
      <c r="N988" s="29"/>
      <c r="O988" s="19"/>
      <c r="P988" s="19"/>
      <c r="Q988" s="19"/>
      <c r="U988" s="20"/>
      <c r="V988" s="28"/>
    </row>
    <row r="989" spans="11:22" x14ac:dyDescent="0.45">
      <c r="K989" s="19"/>
      <c r="L989" s="20"/>
      <c r="M989" s="19"/>
      <c r="N989" s="29"/>
      <c r="O989" s="19"/>
      <c r="P989" s="19"/>
      <c r="Q989" s="19"/>
      <c r="U989" s="20"/>
      <c r="V989" s="28"/>
    </row>
    <row r="990" spans="11:22" x14ac:dyDescent="0.45">
      <c r="K990" s="19"/>
      <c r="L990" s="20"/>
      <c r="M990" s="19"/>
      <c r="N990" s="29"/>
      <c r="O990" s="19"/>
      <c r="P990" s="19"/>
      <c r="Q990" s="19"/>
      <c r="U990" s="20"/>
      <c r="V990" s="28"/>
    </row>
    <row r="991" spans="11:22" x14ac:dyDescent="0.45">
      <c r="K991" s="19"/>
      <c r="L991" s="20"/>
      <c r="M991" s="19"/>
      <c r="N991" s="29"/>
      <c r="O991" s="19"/>
      <c r="P991" s="19"/>
      <c r="Q991" s="19"/>
      <c r="U991" s="20"/>
      <c r="V991" s="28"/>
    </row>
    <row r="992" spans="11:22" x14ac:dyDescent="0.45">
      <c r="K992" s="19"/>
      <c r="L992" s="20"/>
      <c r="M992" s="19"/>
      <c r="N992" s="29"/>
      <c r="O992" s="19"/>
      <c r="P992" s="19"/>
      <c r="Q992" s="19"/>
      <c r="U992" s="20"/>
      <c r="V992" s="28"/>
    </row>
    <row r="993" spans="11:22" x14ac:dyDescent="0.45">
      <c r="K993" s="19"/>
      <c r="L993" s="20"/>
      <c r="M993" s="19"/>
      <c r="N993" s="29"/>
      <c r="O993" s="19"/>
      <c r="P993" s="19"/>
      <c r="Q993" s="19"/>
      <c r="U993" s="20"/>
      <c r="V993" s="28"/>
    </row>
    <row r="994" spans="11:22" x14ac:dyDescent="0.45">
      <c r="K994" s="19"/>
      <c r="L994" s="20"/>
      <c r="M994" s="19"/>
      <c r="N994" s="29"/>
      <c r="O994" s="19"/>
      <c r="P994" s="19"/>
      <c r="Q994" s="19"/>
      <c r="U994" s="20"/>
      <c r="V994" s="28"/>
    </row>
    <row r="995" spans="11:22" x14ac:dyDescent="0.45">
      <c r="K995" s="19"/>
      <c r="L995" s="20"/>
      <c r="M995" s="19"/>
      <c r="N995" s="29"/>
      <c r="O995" s="19"/>
      <c r="P995" s="19"/>
      <c r="Q995" s="19"/>
      <c r="U995" s="20"/>
      <c r="V995" s="28"/>
    </row>
    <row r="996" spans="11:22" x14ac:dyDescent="0.45">
      <c r="K996" s="19"/>
      <c r="L996" s="20"/>
      <c r="M996" s="19"/>
      <c r="N996" s="29"/>
      <c r="O996" s="19"/>
      <c r="P996" s="19"/>
      <c r="Q996" s="19"/>
      <c r="U996" s="20"/>
      <c r="V996" s="28"/>
    </row>
    <row r="997" spans="11:22" x14ac:dyDescent="0.45">
      <c r="K997" s="19"/>
      <c r="L997" s="20"/>
      <c r="M997" s="19"/>
      <c r="N997" s="29"/>
      <c r="O997" s="19"/>
      <c r="P997" s="19"/>
      <c r="Q997" s="19"/>
      <c r="U997" s="20"/>
      <c r="V997" s="28"/>
    </row>
    <row r="998" spans="11:22" x14ac:dyDescent="0.45">
      <c r="K998" s="19"/>
      <c r="L998" s="20"/>
      <c r="M998" s="19"/>
      <c r="N998" s="29"/>
      <c r="O998" s="19"/>
      <c r="P998" s="19"/>
      <c r="Q998" s="19"/>
      <c r="U998" s="20"/>
      <c r="V998" s="28"/>
    </row>
    <row r="999" spans="11:22" x14ac:dyDescent="0.45">
      <c r="K999" s="19"/>
      <c r="L999" s="20"/>
      <c r="M999" s="19"/>
      <c r="N999" s="29"/>
      <c r="O999" s="19"/>
      <c r="P999" s="19"/>
      <c r="Q999" s="19"/>
      <c r="U999" s="20"/>
      <c r="V999" s="28"/>
    </row>
    <row r="1000" spans="11:22" x14ac:dyDescent="0.45">
      <c r="K1000" s="19"/>
      <c r="L1000" s="20"/>
      <c r="M1000" s="19"/>
      <c r="N1000" s="29"/>
      <c r="O1000" s="19"/>
      <c r="P1000" s="19"/>
      <c r="Q1000" s="19"/>
      <c r="U1000" s="20"/>
      <c r="V1000" s="28"/>
    </row>
    <row r="1001" spans="11:22" x14ac:dyDescent="0.45">
      <c r="K1001" s="19"/>
      <c r="L1001" s="20"/>
      <c r="M1001" s="19"/>
      <c r="N1001" s="29"/>
      <c r="O1001" s="19"/>
      <c r="P1001" s="19"/>
      <c r="Q1001" s="19"/>
      <c r="U1001" s="20"/>
      <c r="V1001" s="28"/>
    </row>
    <row r="1002" spans="11:22" x14ac:dyDescent="0.45">
      <c r="K1002" s="19"/>
      <c r="L1002" s="20"/>
      <c r="M1002" s="19"/>
      <c r="N1002" s="29"/>
      <c r="O1002" s="19"/>
      <c r="P1002" s="19"/>
      <c r="Q1002" s="19"/>
      <c r="U1002" s="20"/>
      <c r="V1002" s="28"/>
    </row>
    <row r="1003" spans="11:22" x14ac:dyDescent="0.45">
      <c r="K1003" s="19"/>
      <c r="L1003" s="20"/>
      <c r="M1003" s="19"/>
      <c r="N1003" s="29"/>
      <c r="O1003" s="19"/>
      <c r="P1003" s="19"/>
      <c r="Q1003" s="19"/>
      <c r="U1003" s="20"/>
      <c r="V1003" s="28"/>
    </row>
    <row r="1004" spans="11:22" x14ac:dyDescent="0.45">
      <c r="K1004" s="19"/>
      <c r="L1004" s="20"/>
      <c r="M1004" s="19"/>
      <c r="N1004" s="29"/>
      <c r="O1004" s="19"/>
      <c r="P1004" s="19"/>
      <c r="Q1004" s="19"/>
      <c r="U1004" s="20"/>
      <c r="V1004" s="28"/>
    </row>
    <row r="1005" spans="11:22" x14ac:dyDescent="0.45">
      <c r="K1005" s="19"/>
      <c r="L1005" s="20"/>
      <c r="M1005" s="19"/>
      <c r="N1005" s="29"/>
      <c r="O1005" s="19"/>
      <c r="P1005" s="19"/>
      <c r="Q1005" s="19"/>
      <c r="U1005" s="20"/>
      <c r="V1005" s="28"/>
    </row>
    <row r="1006" spans="11:22" x14ac:dyDescent="0.45">
      <c r="K1006" s="19"/>
      <c r="L1006" s="20"/>
      <c r="M1006" s="19"/>
      <c r="N1006" s="29"/>
      <c r="O1006" s="19"/>
      <c r="P1006" s="19"/>
      <c r="Q1006" s="19"/>
      <c r="U1006" s="20"/>
      <c r="V1006" s="28"/>
    </row>
    <row r="1007" spans="11:22" x14ac:dyDescent="0.45">
      <c r="K1007" s="19"/>
      <c r="L1007" s="20"/>
      <c r="M1007" s="19"/>
      <c r="N1007" s="29"/>
      <c r="O1007" s="19"/>
      <c r="P1007" s="19"/>
      <c r="Q1007" s="19"/>
      <c r="U1007" s="20"/>
      <c r="V1007" s="28"/>
    </row>
    <row r="1008" spans="11:22" x14ac:dyDescent="0.45">
      <c r="K1008" s="19"/>
      <c r="L1008" s="20"/>
      <c r="M1008" s="19"/>
      <c r="N1008" s="29"/>
      <c r="O1008" s="19"/>
      <c r="P1008" s="19"/>
      <c r="Q1008" s="19"/>
      <c r="U1008" s="20"/>
      <c r="V1008" s="28"/>
    </row>
    <row r="1009" spans="11:22" x14ac:dyDescent="0.45">
      <c r="K1009" s="19"/>
      <c r="L1009" s="20"/>
      <c r="M1009" s="19"/>
      <c r="N1009" s="29"/>
      <c r="O1009" s="19"/>
      <c r="P1009" s="19"/>
      <c r="Q1009" s="19"/>
      <c r="U1009" s="20"/>
      <c r="V1009" s="28"/>
    </row>
    <row r="1010" spans="11:22" x14ac:dyDescent="0.45">
      <c r="K1010" s="19"/>
      <c r="L1010" s="20"/>
      <c r="M1010" s="19"/>
      <c r="N1010" s="29"/>
      <c r="O1010" s="19"/>
      <c r="P1010" s="19"/>
      <c r="Q1010" s="19"/>
      <c r="U1010" s="20"/>
      <c r="V1010" s="28"/>
    </row>
    <row r="1011" spans="11:22" x14ac:dyDescent="0.45">
      <c r="K1011" s="19"/>
      <c r="L1011" s="20"/>
      <c r="M1011" s="19"/>
      <c r="N1011" s="29"/>
      <c r="O1011" s="19"/>
      <c r="P1011" s="19"/>
      <c r="Q1011" s="19"/>
      <c r="U1011" s="20"/>
      <c r="V1011" s="28"/>
    </row>
    <row r="1012" spans="11:22" x14ac:dyDescent="0.45">
      <c r="K1012" s="19"/>
      <c r="L1012" s="20"/>
      <c r="M1012" s="19"/>
      <c r="N1012" s="29"/>
      <c r="O1012" s="19"/>
      <c r="P1012" s="19"/>
      <c r="Q1012" s="19"/>
      <c r="U1012" s="20"/>
      <c r="V1012" s="28"/>
    </row>
    <row r="1013" spans="11:22" x14ac:dyDescent="0.45">
      <c r="K1013" s="19"/>
      <c r="L1013" s="20"/>
      <c r="M1013" s="19"/>
      <c r="N1013" s="29"/>
      <c r="O1013" s="19"/>
      <c r="P1013" s="19"/>
      <c r="Q1013" s="19"/>
      <c r="U1013" s="20"/>
      <c r="V1013" s="28"/>
    </row>
    <row r="1014" spans="11:22" x14ac:dyDescent="0.45">
      <c r="K1014" s="19"/>
      <c r="L1014" s="20"/>
      <c r="M1014" s="19"/>
      <c r="N1014" s="29"/>
      <c r="O1014" s="19"/>
      <c r="P1014" s="19"/>
      <c r="Q1014" s="19"/>
      <c r="U1014" s="20"/>
      <c r="V1014" s="28"/>
    </row>
    <row r="1015" spans="11:22" x14ac:dyDescent="0.45">
      <c r="K1015" s="19"/>
      <c r="L1015" s="20"/>
      <c r="M1015" s="19"/>
      <c r="N1015" s="29"/>
      <c r="O1015" s="19"/>
      <c r="P1015" s="19"/>
      <c r="Q1015" s="19"/>
      <c r="U1015" s="20"/>
      <c r="V1015" s="28"/>
    </row>
    <row r="1016" spans="11:22" x14ac:dyDescent="0.45">
      <c r="K1016" s="19"/>
      <c r="L1016" s="20"/>
      <c r="M1016" s="19"/>
      <c r="N1016" s="29"/>
      <c r="O1016" s="19"/>
      <c r="P1016" s="19"/>
      <c r="Q1016" s="19"/>
      <c r="U1016" s="20"/>
      <c r="V1016" s="28"/>
    </row>
    <row r="1017" spans="11:22" x14ac:dyDescent="0.45">
      <c r="K1017" s="19"/>
      <c r="L1017" s="20"/>
      <c r="M1017" s="19"/>
      <c r="N1017" s="29"/>
      <c r="O1017" s="19"/>
      <c r="P1017" s="19"/>
      <c r="Q1017" s="19"/>
      <c r="U1017" s="20"/>
      <c r="V1017" s="28"/>
    </row>
    <row r="1018" spans="11:22" x14ac:dyDescent="0.45">
      <c r="K1018" s="19"/>
      <c r="L1018" s="20"/>
      <c r="M1018" s="19"/>
      <c r="N1018" s="29"/>
      <c r="O1018" s="19"/>
      <c r="P1018" s="19"/>
      <c r="Q1018" s="19"/>
      <c r="U1018" s="20"/>
      <c r="V1018" s="28"/>
    </row>
    <row r="1019" spans="11:22" x14ac:dyDescent="0.45">
      <c r="K1019" s="19"/>
      <c r="L1019" s="20"/>
      <c r="M1019" s="19"/>
      <c r="N1019" s="29"/>
      <c r="O1019" s="19"/>
      <c r="P1019" s="19"/>
      <c r="Q1019" s="19"/>
      <c r="U1019" s="20"/>
      <c r="V1019" s="28"/>
    </row>
    <row r="1020" spans="11:22" x14ac:dyDescent="0.45">
      <c r="K1020" s="19"/>
      <c r="L1020" s="20"/>
      <c r="M1020" s="19"/>
      <c r="N1020" s="29"/>
      <c r="O1020" s="19"/>
      <c r="P1020" s="19"/>
      <c r="Q1020" s="19"/>
      <c r="U1020" s="20"/>
      <c r="V1020" s="28"/>
    </row>
    <row r="1021" spans="11:22" x14ac:dyDescent="0.45">
      <c r="K1021" s="19"/>
      <c r="L1021" s="20"/>
      <c r="M1021" s="19"/>
      <c r="N1021" s="29"/>
      <c r="O1021" s="19"/>
      <c r="P1021" s="19"/>
      <c r="Q1021" s="19"/>
      <c r="U1021" s="20"/>
      <c r="V1021" s="28"/>
    </row>
    <row r="1022" spans="11:22" x14ac:dyDescent="0.45">
      <c r="K1022" s="19"/>
      <c r="L1022" s="20"/>
      <c r="M1022" s="19"/>
      <c r="N1022" s="29"/>
      <c r="O1022" s="19"/>
      <c r="P1022" s="19"/>
      <c r="Q1022" s="19"/>
      <c r="U1022" s="20"/>
      <c r="V1022" s="28"/>
    </row>
    <row r="1023" spans="11:22" x14ac:dyDescent="0.45">
      <c r="K1023" s="19"/>
      <c r="L1023" s="20"/>
      <c r="M1023" s="19"/>
      <c r="N1023" s="29"/>
      <c r="O1023" s="19"/>
      <c r="P1023" s="19"/>
      <c r="Q1023" s="19"/>
      <c r="U1023" s="20"/>
      <c r="V1023" s="28"/>
    </row>
    <row r="1024" spans="11:22" x14ac:dyDescent="0.45">
      <c r="K1024" s="19"/>
      <c r="L1024" s="20"/>
      <c r="M1024" s="19"/>
      <c r="N1024" s="29"/>
      <c r="O1024" s="19"/>
      <c r="P1024" s="19"/>
      <c r="Q1024" s="19"/>
      <c r="U1024" s="20"/>
      <c r="V1024" s="28"/>
    </row>
    <row r="1025" spans="11:22" x14ac:dyDescent="0.45">
      <c r="K1025" s="19"/>
      <c r="L1025" s="20"/>
      <c r="M1025" s="19"/>
      <c r="N1025" s="29"/>
      <c r="O1025" s="19"/>
      <c r="P1025" s="19"/>
      <c r="Q1025" s="19"/>
      <c r="U1025" s="20"/>
      <c r="V1025" s="28"/>
    </row>
    <row r="1026" spans="11:22" x14ac:dyDescent="0.45">
      <c r="K1026" s="19"/>
      <c r="L1026" s="20"/>
      <c r="M1026" s="19"/>
      <c r="N1026" s="29"/>
      <c r="O1026" s="19"/>
      <c r="P1026" s="19"/>
      <c r="Q1026" s="19"/>
      <c r="U1026" s="20"/>
      <c r="V1026" s="28"/>
    </row>
    <row r="1027" spans="11:22" x14ac:dyDescent="0.45">
      <c r="K1027" s="19"/>
      <c r="L1027" s="20"/>
      <c r="M1027" s="19"/>
      <c r="N1027" s="29"/>
      <c r="O1027" s="19"/>
      <c r="P1027" s="19"/>
      <c r="Q1027" s="19"/>
      <c r="U1027" s="20"/>
      <c r="V1027" s="28"/>
    </row>
    <row r="1028" spans="11:22" x14ac:dyDescent="0.45">
      <c r="K1028" s="19"/>
      <c r="L1028" s="20"/>
      <c r="M1028" s="19"/>
      <c r="N1028" s="29"/>
      <c r="O1028" s="19"/>
      <c r="P1028" s="19"/>
      <c r="Q1028" s="19"/>
      <c r="U1028" s="20"/>
      <c r="V1028" s="28"/>
    </row>
    <row r="1029" spans="11:22" x14ac:dyDescent="0.45">
      <c r="K1029" s="19"/>
      <c r="L1029" s="20"/>
      <c r="M1029" s="19"/>
      <c r="N1029" s="29"/>
      <c r="O1029" s="19"/>
      <c r="P1029" s="19"/>
      <c r="Q1029" s="19"/>
      <c r="U1029" s="20"/>
      <c r="V1029" s="28"/>
    </row>
    <row r="1030" spans="11:22" x14ac:dyDescent="0.45">
      <c r="K1030" s="19"/>
      <c r="L1030" s="20"/>
      <c r="M1030" s="19"/>
      <c r="N1030" s="29"/>
      <c r="O1030" s="19"/>
      <c r="P1030" s="19"/>
      <c r="Q1030" s="19"/>
      <c r="U1030" s="20"/>
      <c r="V1030" s="28"/>
    </row>
    <row r="1031" spans="11:22" x14ac:dyDescent="0.45">
      <c r="K1031" s="19"/>
      <c r="L1031" s="20"/>
      <c r="M1031" s="19"/>
      <c r="N1031" s="29"/>
      <c r="O1031" s="19"/>
      <c r="P1031" s="19"/>
      <c r="Q1031" s="19"/>
      <c r="U1031" s="20"/>
      <c r="V1031" s="28"/>
    </row>
    <row r="1032" spans="11:22" x14ac:dyDescent="0.45">
      <c r="K1032" s="19"/>
      <c r="L1032" s="20"/>
      <c r="M1032" s="19"/>
      <c r="N1032" s="29"/>
      <c r="O1032" s="19"/>
      <c r="P1032" s="19"/>
      <c r="Q1032" s="19"/>
      <c r="U1032" s="20"/>
      <c r="V1032" s="28"/>
    </row>
    <row r="1033" spans="11:22" x14ac:dyDescent="0.45">
      <c r="K1033" s="19"/>
      <c r="L1033" s="20"/>
      <c r="M1033" s="19"/>
      <c r="N1033" s="29"/>
      <c r="O1033" s="19"/>
      <c r="P1033" s="19"/>
      <c r="Q1033" s="19"/>
      <c r="U1033" s="20"/>
      <c r="V1033" s="28"/>
    </row>
    <row r="1034" spans="11:22" x14ac:dyDescent="0.45">
      <c r="K1034" s="19"/>
      <c r="L1034" s="20"/>
      <c r="M1034" s="19"/>
      <c r="N1034" s="29"/>
      <c r="O1034" s="19"/>
      <c r="P1034" s="19"/>
      <c r="Q1034" s="19"/>
      <c r="U1034" s="20"/>
      <c r="V1034" s="28"/>
    </row>
    <row r="1035" spans="11:22" x14ac:dyDescent="0.45">
      <c r="K1035" s="19"/>
      <c r="L1035" s="20"/>
      <c r="M1035" s="19"/>
      <c r="N1035" s="29"/>
      <c r="O1035" s="19"/>
      <c r="P1035" s="19"/>
      <c r="Q1035" s="19"/>
      <c r="U1035" s="20"/>
      <c r="V1035" s="28"/>
    </row>
    <row r="1036" spans="11:22" x14ac:dyDescent="0.45">
      <c r="K1036" s="19"/>
      <c r="L1036" s="20"/>
      <c r="M1036" s="19"/>
      <c r="N1036" s="29"/>
      <c r="O1036" s="19"/>
      <c r="P1036" s="19"/>
      <c r="Q1036" s="19"/>
      <c r="U1036" s="20"/>
      <c r="V1036" s="28"/>
    </row>
    <row r="1037" spans="11:22" x14ac:dyDescent="0.45">
      <c r="K1037" s="19"/>
      <c r="L1037" s="20"/>
      <c r="M1037" s="19"/>
      <c r="N1037" s="29"/>
      <c r="O1037" s="19"/>
      <c r="P1037" s="19"/>
      <c r="Q1037" s="19"/>
      <c r="U1037" s="20"/>
      <c r="V1037" s="28"/>
    </row>
    <row r="1038" spans="11:22" x14ac:dyDescent="0.45">
      <c r="K1038" s="19"/>
      <c r="L1038" s="20"/>
      <c r="M1038" s="19"/>
      <c r="N1038" s="29"/>
      <c r="O1038" s="19"/>
      <c r="P1038" s="19"/>
      <c r="Q1038" s="19"/>
      <c r="U1038" s="20"/>
      <c r="V1038" s="28"/>
    </row>
    <row r="1039" spans="11:22" x14ac:dyDescent="0.45">
      <c r="K1039" s="19"/>
      <c r="L1039" s="20"/>
      <c r="M1039" s="19"/>
      <c r="N1039" s="29"/>
      <c r="O1039" s="19"/>
      <c r="P1039" s="19"/>
      <c r="Q1039" s="19"/>
      <c r="U1039" s="20"/>
      <c r="V1039" s="28"/>
    </row>
    <row r="1040" spans="11:22" x14ac:dyDescent="0.45">
      <c r="K1040" s="19"/>
      <c r="L1040" s="20"/>
      <c r="M1040" s="19"/>
      <c r="N1040" s="29"/>
      <c r="O1040" s="19"/>
      <c r="P1040" s="19"/>
      <c r="Q1040" s="19"/>
      <c r="U1040" s="20"/>
      <c r="V1040" s="28"/>
    </row>
    <row r="1041" spans="11:22" x14ac:dyDescent="0.45">
      <c r="K1041" s="19"/>
      <c r="L1041" s="20"/>
      <c r="M1041" s="19"/>
      <c r="N1041" s="29"/>
      <c r="O1041" s="19"/>
      <c r="P1041" s="19"/>
      <c r="Q1041" s="19"/>
      <c r="U1041" s="20"/>
      <c r="V1041" s="28"/>
    </row>
    <row r="1042" spans="11:22" x14ac:dyDescent="0.45">
      <c r="K1042" s="19"/>
      <c r="L1042" s="20"/>
      <c r="M1042" s="19"/>
      <c r="N1042" s="29"/>
      <c r="O1042" s="19"/>
      <c r="P1042" s="19"/>
      <c r="Q1042" s="19"/>
      <c r="U1042" s="20"/>
      <c r="V1042" s="28"/>
    </row>
    <row r="1043" spans="11:22" x14ac:dyDescent="0.45">
      <c r="K1043" s="19"/>
      <c r="L1043" s="20"/>
      <c r="M1043" s="19"/>
      <c r="N1043" s="29"/>
      <c r="O1043" s="19"/>
      <c r="P1043" s="19"/>
      <c r="Q1043" s="19"/>
      <c r="U1043" s="20"/>
      <c r="V1043" s="28"/>
    </row>
    <row r="1044" spans="11:22" x14ac:dyDescent="0.45">
      <c r="K1044" s="19"/>
      <c r="L1044" s="20"/>
      <c r="M1044" s="19"/>
      <c r="N1044" s="29"/>
      <c r="O1044" s="19"/>
      <c r="P1044" s="19"/>
      <c r="Q1044" s="19"/>
      <c r="U1044" s="20"/>
      <c r="V1044" s="28"/>
    </row>
    <row r="1045" spans="11:22" x14ac:dyDescent="0.45">
      <c r="K1045" s="19"/>
      <c r="L1045" s="20"/>
      <c r="M1045" s="19"/>
      <c r="N1045" s="29"/>
      <c r="O1045" s="19"/>
      <c r="P1045" s="19"/>
      <c r="Q1045" s="19"/>
      <c r="U1045" s="20"/>
      <c r="V1045" s="28"/>
    </row>
    <row r="1046" spans="11:22" x14ac:dyDescent="0.45">
      <c r="K1046" s="19"/>
      <c r="L1046" s="20"/>
      <c r="M1046" s="19"/>
      <c r="N1046" s="29"/>
      <c r="O1046" s="19"/>
      <c r="P1046" s="19"/>
      <c r="Q1046" s="19"/>
      <c r="U1046" s="20"/>
      <c r="V1046" s="28"/>
    </row>
    <row r="1047" spans="11:22" x14ac:dyDescent="0.45">
      <c r="K1047" s="19"/>
      <c r="L1047" s="20"/>
      <c r="M1047" s="19"/>
      <c r="N1047" s="29"/>
      <c r="O1047" s="19"/>
      <c r="P1047" s="19"/>
      <c r="Q1047" s="19"/>
      <c r="U1047" s="20"/>
      <c r="V1047" s="28"/>
    </row>
    <row r="1048" spans="11:22" x14ac:dyDescent="0.45">
      <c r="K1048" s="19"/>
      <c r="L1048" s="20"/>
      <c r="M1048" s="19"/>
      <c r="N1048" s="29"/>
      <c r="O1048" s="19"/>
      <c r="P1048" s="19"/>
      <c r="Q1048" s="19"/>
      <c r="U1048" s="20"/>
      <c r="V1048" s="28"/>
    </row>
    <row r="1049" spans="11:22" x14ac:dyDescent="0.45">
      <c r="K1049" s="19"/>
      <c r="L1049" s="20"/>
      <c r="M1049" s="19"/>
      <c r="N1049" s="29"/>
      <c r="O1049" s="19"/>
      <c r="P1049" s="19"/>
      <c r="Q1049" s="19"/>
      <c r="U1049" s="20"/>
      <c r="V1049" s="28"/>
    </row>
    <row r="1050" spans="11:22" x14ac:dyDescent="0.45">
      <c r="K1050" s="19"/>
      <c r="L1050" s="20"/>
      <c r="M1050" s="19"/>
      <c r="N1050" s="29"/>
      <c r="O1050" s="19"/>
      <c r="P1050" s="19"/>
      <c r="Q1050" s="19"/>
      <c r="U1050" s="20"/>
      <c r="V1050" s="28"/>
    </row>
    <row r="1051" spans="11:22" x14ac:dyDescent="0.45">
      <c r="K1051" s="19"/>
      <c r="L1051" s="20"/>
      <c r="M1051" s="19"/>
      <c r="N1051" s="29"/>
      <c r="O1051" s="19"/>
      <c r="P1051" s="19"/>
      <c r="Q1051" s="19"/>
      <c r="U1051" s="20"/>
      <c r="V1051" s="28"/>
    </row>
    <row r="1052" spans="11:22" x14ac:dyDescent="0.45">
      <c r="K1052" s="19"/>
      <c r="L1052" s="20"/>
      <c r="M1052" s="19"/>
      <c r="N1052" s="29"/>
      <c r="O1052" s="19"/>
      <c r="P1052" s="19"/>
      <c r="Q1052" s="19"/>
      <c r="U1052" s="20"/>
      <c r="V1052" s="28"/>
    </row>
    <row r="1053" spans="11:22" x14ac:dyDescent="0.45">
      <c r="K1053" s="19"/>
      <c r="L1053" s="20"/>
      <c r="M1053" s="19"/>
      <c r="N1053" s="29"/>
      <c r="O1053" s="19"/>
      <c r="P1053" s="19"/>
      <c r="Q1053" s="19"/>
      <c r="U1053" s="20"/>
      <c r="V1053" s="28"/>
    </row>
    <row r="1054" spans="11:22" x14ac:dyDescent="0.45">
      <c r="K1054" s="19"/>
      <c r="L1054" s="20"/>
      <c r="M1054" s="19"/>
      <c r="N1054" s="29"/>
      <c r="O1054" s="19"/>
      <c r="P1054" s="19"/>
      <c r="Q1054" s="19"/>
      <c r="U1054" s="20"/>
      <c r="V1054" s="28"/>
    </row>
    <row r="1055" spans="11:22" x14ac:dyDescent="0.45">
      <c r="K1055" s="19"/>
      <c r="L1055" s="20"/>
      <c r="M1055" s="19"/>
      <c r="N1055" s="29"/>
      <c r="O1055" s="19"/>
      <c r="P1055" s="19"/>
      <c r="Q1055" s="19"/>
      <c r="U1055" s="20"/>
      <c r="V1055" s="28"/>
    </row>
    <row r="1056" spans="11:22" x14ac:dyDescent="0.45">
      <c r="K1056" s="19"/>
      <c r="L1056" s="20"/>
      <c r="M1056" s="19"/>
      <c r="N1056" s="29"/>
      <c r="O1056" s="19"/>
      <c r="P1056" s="19"/>
      <c r="Q1056" s="19"/>
      <c r="U1056" s="20"/>
      <c r="V1056" s="28"/>
    </row>
    <row r="1057" spans="11:22" x14ac:dyDescent="0.45">
      <c r="K1057" s="19"/>
      <c r="L1057" s="20"/>
      <c r="M1057" s="19"/>
      <c r="N1057" s="29"/>
      <c r="O1057" s="19"/>
      <c r="P1057" s="19"/>
      <c r="Q1057" s="19"/>
      <c r="U1057" s="20"/>
      <c r="V1057" s="28"/>
    </row>
    <row r="1058" spans="11:22" x14ac:dyDescent="0.45">
      <c r="K1058" s="19"/>
      <c r="L1058" s="20"/>
      <c r="M1058" s="19"/>
      <c r="N1058" s="29"/>
      <c r="O1058" s="19"/>
      <c r="P1058" s="19"/>
      <c r="Q1058" s="19"/>
      <c r="U1058" s="20"/>
      <c r="V1058" s="28"/>
    </row>
    <row r="1059" spans="11:22" x14ac:dyDescent="0.45">
      <c r="K1059" s="19"/>
      <c r="L1059" s="20"/>
      <c r="M1059" s="19"/>
      <c r="N1059" s="29"/>
      <c r="O1059" s="19"/>
      <c r="P1059" s="19"/>
      <c r="Q1059" s="19"/>
      <c r="U1059" s="20"/>
      <c r="V1059" s="28"/>
    </row>
    <row r="1060" spans="11:22" x14ac:dyDescent="0.45">
      <c r="K1060" s="19"/>
      <c r="L1060" s="20"/>
      <c r="M1060" s="19"/>
      <c r="N1060" s="29"/>
      <c r="O1060" s="19"/>
      <c r="P1060" s="19"/>
      <c r="Q1060" s="19"/>
      <c r="U1060" s="20"/>
      <c r="V1060" s="28"/>
    </row>
    <row r="1061" spans="11:22" x14ac:dyDescent="0.45">
      <c r="K1061" s="19"/>
      <c r="L1061" s="20"/>
      <c r="M1061" s="19"/>
      <c r="N1061" s="29"/>
      <c r="O1061" s="19"/>
      <c r="P1061" s="19"/>
      <c r="Q1061" s="19"/>
      <c r="U1061" s="20"/>
      <c r="V1061" s="28"/>
    </row>
    <row r="1062" spans="11:22" x14ac:dyDescent="0.45">
      <c r="K1062" s="19"/>
      <c r="L1062" s="20"/>
      <c r="M1062" s="19"/>
      <c r="N1062" s="29"/>
      <c r="O1062" s="19"/>
      <c r="P1062" s="19"/>
      <c r="Q1062" s="19"/>
      <c r="U1062" s="20"/>
      <c r="V1062" s="28"/>
    </row>
    <row r="1063" spans="11:22" x14ac:dyDescent="0.45">
      <c r="K1063" s="19"/>
      <c r="L1063" s="20"/>
      <c r="M1063" s="19"/>
      <c r="N1063" s="29"/>
      <c r="O1063" s="19"/>
      <c r="P1063" s="19"/>
      <c r="Q1063" s="19"/>
      <c r="U1063" s="20"/>
      <c r="V1063" s="28"/>
    </row>
    <row r="1064" spans="11:22" x14ac:dyDescent="0.45">
      <c r="K1064" s="19"/>
      <c r="L1064" s="20"/>
      <c r="M1064" s="19"/>
      <c r="N1064" s="29"/>
      <c r="O1064" s="19"/>
      <c r="P1064" s="19"/>
      <c r="Q1064" s="19"/>
      <c r="U1064" s="20"/>
      <c r="V1064" s="28"/>
    </row>
    <row r="1065" spans="11:22" x14ac:dyDescent="0.45">
      <c r="K1065" s="19"/>
      <c r="L1065" s="20"/>
      <c r="M1065" s="19"/>
      <c r="N1065" s="29"/>
      <c r="O1065" s="19"/>
      <c r="P1065" s="19"/>
      <c r="Q1065" s="19"/>
      <c r="U1065" s="20"/>
      <c r="V1065" s="28"/>
    </row>
    <row r="1066" spans="11:22" x14ac:dyDescent="0.45">
      <c r="K1066" s="19"/>
      <c r="L1066" s="20"/>
      <c r="M1066" s="19"/>
      <c r="N1066" s="29"/>
      <c r="O1066" s="19"/>
      <c r="P1066" s="19"/>
      <c r="Q1066" s="19"/>
      <c r="U1066" s="20"/>
      <c r="V1066" s="28"/>
    </row>
    <row r="1067" spans="11:22" x14ac:dyDescent="0.45">
      <c r="K1067" s="19"/>
      <c r="L1067" s="20"/>
      <c r="M1067" s="19"/>
      <c r="N1067" s="29"/>
      <c r="O1067" s="19"/>
      <c r="P1067" s="19"/>
      <c r="Q1067" s="19"/>
      <c r="U1067" s="20"/>
      <c r="V1067" s="28"/>
    </row>
    <row r="1068" spans="11:22" x14ac:dyDescent="0.45">
      <c r="K1068" s="19"/>
      <c r="L1068" s="20"/>
      <c r="M1068" s="19"/>
      <c r="N1068" s="29"/>
      <c r="O1068" s="19"/>
      <c r="P1068" s="19"/>
      <c r="Q1068" s="19"/>
      <c r="U1068" s="20"/>
      <c r="V1068" s="28"/>
    </row>
    <row r="1069" spans="11:22" x14ac:dyDescent="0.45">
      <c r="K1069" s="19"/>
      <c r="L1069" s="20"/>
      <c r="M1069" s="19"/>
      <c r="N1069" s="29"/>
      <c r="O1069" s="19"/>
      <c r="P1069" s="19"/>
      <c r="Q1069" s="19"/>
      <c r="U1069" s="20"/>
      <c r="V1069" s="28"/>
    </row>
    <row r="1070" spans="11:22" x14ac:dyDescent="0.45">
      <c r="K1070" s="19"/>
      <c r="L1070" s="20"/>
      <c r="M1070" s="19"/>
      <c r="N1070" s="29"/>
      <c r="O1070" s="19"/>
      <c r="P1070" s="19"/>
      <c r="Q1070" s="19"/>
      <c r="U1070" s="20"/>
      <c r="V1070" s="28"/>
    </row>
    <row r="1071" spans="11:22" x14ac:dyDescent="0.45">
      <c r="K1071" s="19"/>
      <c r="L1071" s="20"/>
      <c r="M1071" s="19"/>
      <c r="N1071" s="29"/>
      <c r="O1071" s="19"/>
      <c r="P1071" s="19"/>
      <c r="Q1071" s="19"/>
      <c r="U1071" s="20"/>
      <c r="V1071" s="28"/>
    </row>
    <row r="1072" spans="11:22" x14ac:dyDescent="0.45">
      <c r="K1072" s="19"/>
      <c r="L1072" s="20"/>
      <c r="M1072" s="19"/>
      <c r="N1072" s="29"/>
      <c r="O1072" s="19"/>
      <c r="P1072" s="19"/>
      <c r="Q1072" s="19"/>
      <c r="U1072" s="20"/>
      <c r="V1072" s="28"/>
    </row>
    <row r="1073" spans="11:22" x14ac:dyDescent="0.45">
      <c r="K1073" s="19"/>
      <c r="L1073" s="20"/>
      <c r="M1073" s="19"/>
      <c r="N1073" s="29"/>
      <c r="O1073" s="19"/>
      <c r="P1073" s="19"/>
      <c r="Q1073" s="19"/>
      <c r="U1073" s="20"/>
      <c r="V1073" s="28"/>
    </row>
    <row r="1074" spans="11:22" x14ac:dyDescent="0.45">
      <c r="K1074" s="19"/>
      <c r="L1074" s="20"/>
      <c r="M1074" s="19"/>
      <c r="N1074" s="29"/>
      <c r="O1074" s="19"/>
      <c r="P1074" s="19"/>
      <c r="Q1074" s="19"/>
      <c r="U1074" s="20"/>
      <c r="V1074" s="28"/>
    </row>
    <row r="1075" spans="11:22" x14ac:dyDescent="0.45">
      <c r="K1075" s="19"/>
      <c r="L1075" s="20"/>
      <c r="M1075" s="19"/>
      <c r="N1075" s="29"/>
      <c r="O1075" s="19"/>
      <c r="P1075" s="19"/>
      <c r="Q1075" s="19"/>
      <c r="U1075" s="20"/>
      <c r="V1075" s="28"/>
    </row>
    <row r="1076" spans="11:22" x14ac:dyDescent="0.45">
      <c r="K1076" s="19"/>
      <c r="L1076" s="20"/>
      <c r="M1076" s="19"/>
      <c r="N1076" s="29"/>
      <c r="O1076" s="19"/>
      <c r="P1076" s="19"/>
      <c r="Q1076" s="19"/>
      <c r="U1076" s="20"/>
      <c r="V1076" s="28"/>
    </row>
    <row r="1077" spans="11:22" x14ac:dyDescent="0.45">
      <c r="K1077" s="19"/>
      <c r="L1077" s="20"/>
      <c r="M1077" s="19"/>
      <c r="N1077" s="29"/>
      <c r="O1077" s="19"/>
      <c r="P1077" s="19"/>
      <c r="Q1077" s="19"/>
      <c r="U1077" s="20"/>
      <c r="V1077" s="28"/>
    </row>
    <row r="1078" spans="11:22" x14ac:dyDescent="0.45">
      <c r="K1078" s="19"/>
      <c r="L1078" s="20"/>
      <c r="M1078" s="19"/>
      <c r="N1078" s="29"/>
      <c r="O1078" s="19"/>
      <c r="P1078" s="19"/>
      <c r="Q1078" s="19"/>
      <c r="U1078" s="20"/>
      <c r="V1078" s="28"/>
    </row>
    <row r="1079" spans="11:22" x14ac:dyDescent="0.45">
      <c r="K1079" s="19"/>
      <c r="L1079" s="20"/>
      <c r="M1079" s="19"/>
      <c r="N1079" s="29"/>
      <c r="O1079" s="19"/>
      <c r="P1079" s="19"/>
      <c r="Q1079" s="19"/>
      <c r="U1079" s="20"/>
      <c r="V1079" s="28"/>
    </row>
    <row r="1080" spans="11:22" x14ac:dyDescent="0.45">
      <c r="K1080" s="19"/>
      <c r="L1080" s="20"/>
      <c r="M1080" s="19"/>
      <c r="N1080" s="29"/>
      <c r="O1080" s="19"/>
      <c r="P1080" s="19"/>
      <c r="Q1080" s="19"/>
      <c r="U1080" s="20"/>
      <c r="V1080" s="28"/>
    </row>
    <row r="1081" spans="11:22" x14ac:dyDescent="0.45">
      <c r="K1081" s="19"/>
      <c r="L1081" s="20"/>
      <c r="M1081" s="19"/>
      <c r="N1081" s="29"/>
      <c r="O1081" s="19"/>
      <c r="P1081" s="19"/>
      <c r="Q1081" s="19"/>
      <c r="U1081" s="20"/>
      <c r="V1081" s="28"/>
    </row>
    <row r="1082" spans="11:22" x14ac:dyDescent="0.45">
      <c r="K1082" s="19"/>
      <c r="L1082" s="20"/>
      <c r="M1082" s="19"/>
      <c r="N1082" s="29"/>
      <c r="O1082" s="19"/>
      <c r="P1082" s="19"/>
      <c r="Q1082" s="19"/>
      <c r="U1082" s="20"/>
      <c r="V1082" s="28"/>
    </row>
    <row r="1083" spans="11:22" x14ac:dyDescent="0.45">
      <c r="K1083" s="19"/>
      <c r="L1083" s="20"/>
      <c r="M1083" s="19"/>
      <c r="N1083" s="29"/>
      <c r="O1083" s="19"/>
      <c r="P1083" s="19"/>
      <c r="Q1083" s="19"/>
      <c r="U1083" s="20"/>
      <c r="V1083" s="28"/>
    </row>
    <row r="1084" spans="11:22" x14ac:dyDescent="0.45">
      <c r="K1084" s="19"/>
      <c r="L1084" s="20"/>
      <c r="M1084" s="19"/>
      <c r="N1084" s="29"/>
      <c r="O1084" s="19"/>
      <c r="P1084" s="19"/>
      <c r="Q1084" s="19"/>
      <c r="U1084" s="20"/>
      <c r="V1084" s="28"/>
    </row>
    <row r="1085" spans="11:22" x14ac:dyDescent="0.45">
      <c r="K1085" s="19"/>
      <c r="L1085" s="20"/>
      <c r="M1085" s="19"/>
      <c r="N1085" s="29"/>
      <c r="O1085" s="19"/>
      <c r="P1085" s="19"/>
      <c r="Q1085" s="19"/>
      <c r="U1085" s="20"/>
      <c r="V1085" s="28"/>
    </row>
    <row r="1086" spans="11:22" x14ac:dyDescent="0.45">
      <c r="K1086" s="19"/>
      <c r="L1086" s="20"/>
      <c r="M1086" s="19"/>
      <c r="N1086" s="29"/>
      <c r="O1086" s="19"/>
      <c r="P1086" s="19"/>
      <c r="Q1086" s="19"/>
      <c r="U1086" s="20"/>
      <c r="V1086" s="28"/>
    </row>
    <row r="1087" spans="11:22" x14ac:dyDescent="0.45">
      <c r="K1087" s="19"/>
      <c r="L1087" s="20"/>
      <c r="M1087" s="19"/>
      <c r="N1087" s="29"/>
      <c r="O1087" s="19"/>
      <c r="P1087" s="19"/>
      <c r="Q1087" s="19"/>
      <c r="U1087" s="20"/>
      <c r="V1087" s="28"/>
    </row>
    <row r="1088" spans="11:22" x14ac:dyDescent="0.45">
      <c r="K1088" s="19"/>
      <c r="L1088" s="20"/>
      <c r="M1088" s="19"/>
      <c r="N1088" s="29"/>
      <c r="O1088" s="19"/>
      <c r="P1088" s="19"/>
      <c r="Q1088" s="19"/>
      <c r="U1088" s="20"/>
      <c r="V1088" s="28"/>
    </row>
    <row r="1089" spans="11:22" x14ac:dyDescent="0.45">
      <c r="K1089" s="19"/>
      <c r="L1089" s="20"/>
      <c r="M1089" s="19"/>
      <c r="N1089" s="29"/>
      <c r="O1089" s="19"/>
      <c r="P1089" s="19"/>
      <c r="Q1089" s="19"/>
      <c r="U1089" s="20"/>
      <c r="V1089" s="28"/>
    </row>
    <row r="1090" spans="11:22" x14ac:dyDescent="0.45">
      <c r="K1090" s="19"/>
      <c r="L1090" s="20"/>
      <c r="M1090" s="19"/>
      <c r="N1090" s="29"/>
      <c r="O1090" s="19"/>
      <c r="P1090" s="19"/>
      <c r="Q1090" s="19"/>
      <c r="U1090" s="20"/>
      <c r="V1090" s="28"/>
    </row>
    <row r="1091" spans="11:22" x14ac:dyDescent="0.45">
      <c r="K1091" s="19"/>
      <c r="L1091" s="20"/>
      <c r="M1091" s="19"/>
      <c r="N1091" s="29"/>
      <c r="O1091" s="19"/>
      <c r="P1091" s="19"/>
      <c r="Q1091" s="19"/>
      <c r="U1091" s="20"/>
      <c r="V1091" s="28"/>
    </row>
    <row r="1092" spans="11:22" x14ac:dyDescent="0.45">
      <c r="K1092" s="19"/>
      <c r="L1092" s="20"/>
      <c r="M1092" s="19"/>
      <c r="N1092" s="29"/>
      <c r="O1092" s="19"/>
      <c r="P1092" s="19"/>
      <c r="Q1092" s="19"/>
      <c r="U1092" s="20"/>
      <c r="V1092" s="28"/>
    </row>
    <row r="1093" spans="11:22" x14ac:dyDescent="0.45">
      <c r="K1093" s="19"/>
      <c r="L1093" s="20"/>
      <c r="M1093" s="19"/>
      <c r="N1093" s="29"/>
      <c r="O1093" s="19"/>
      <c r="P1093" s="19"/>
      <c r="Q1093" s="19"/>
      <c r="U1093" s="20"/>
      <c r="V1093" s="28"/>
    </row>
    <row r="1094" spans="11:22" x14ac:dyDescent="0.45">
      <c r="K1094" s="19"/>
      <c r="L1094" s="20"/>
      <c r="M1094" s="19"/>
      <c r="N1094" s="29"/>
      <c r="O1094" s="19"/>
      <c r="P1094" s="19"/>
      <c r="Q1094" s="19"/>
      <c r="U1094" s="20"/>
      <c r="V1094" s="28"/>
    </row>
    <row r="1095" spans="11:22" x14ac:dyDescent="0.45">
      <c r="K1095" s="19"/>
      <c r="L1095" s="20"/>
      <c r="M1095" s="19"/>
      <c r="N1095" s="29"/>
      <c r="O1095" s="19"/>
      <c r="P1095" s="19"/>
      <c r="Q1095" s="19"/>
      <c r="U1095" s="20"/>
      <c r="V1095" s="28"/>
    </row>
    <row r="1096" spans="11:22" x14ac:dyDescent="0.45">
      <c r="K1096" s="19"/>
      <c r="L1096" s="20"/>
      <c r="M1096" s="19"/>
      <c r="N1096" s="29"/>
      <c r="O1096" s="19"/>
      <c r="P1096" s="19"/>
      <c r="Q1096" s="19"/>
      <c r="U1096" s="20"/>
      <c r="V1096" s="28"/>
    </row>
    <row r="1097" spans="11:22" x14ac:dyDescent="0.45">
      <c r="K1097" s="19"/>
      <c r="L1097" s="20"/>
      <c r="M1097" s="19"/>
      <c r="N1097" s="29"/>
      <c r="O1097" s="19"/>
      <c r="P1097" s="19"/>
      <c r="Q1097" s="19"/>
      <c r="U1097" s="20"/>
      <c r="V1097" s="28"/>
    </row>
    <row r="1098" spans="11:22" x14ac:dyDescent="0.45">
      <c r="K1098" s="19"/>
      <c r="L1098" s="20"/>
      <c r="M1098" s="19"/>
      <c r="N1098" s="29"/>
      <c r="O1098" s="19"/>
      <c r="P1098" s="19"/>
      <c r="Q1098" s="19"/>
      <c r="U1098" s="20"/>
      <c r="V1098" s="28"/>
    </row>
    <row r="1099" spans="11:22" x14ac:dyDescent="0.45">
      <c r="K1099" s="19"/>
      <c r="L1099" s="20"/>
      <c r="M1099" s="19"/>
      <c r="N1099" s="29"/>
      <c r="O1099" s="19"/>
      <c r="P1099" s="19"/>
      <c r="Q1099" s="19"/>
      <c r="U1099" s="20"/>
      <c r="V1099" s="28"/>
    </row>
    <row r="1100" spans="11:22" x14ac:dyDescent="0.45">
      <c r="K1100" s="19"/>
      <c r="L1100" s="20"/>
      <c r="M1100" s="19"/>
      <c r="N1100" s="29"/>
      <c r="O1100" s="19"/>
      <c r="P1100" s="19"/>
      <c r="Q1100" s="19"/>
      <c r="U1100" s="20"/>
      <c r="V1100" s="28"/>
    </row>
    <row r="1101" spans="11:22" x14ac:dyDescent="0.45">
      <c r="K1101" s="19"/>
      <c r="L1101" s="20"/>
      <c r="M1101" s="19"/>
      <c r="N1101" s="29"/>
      <c r="O1101" s="19"/>
      <c r="P1101" s="19"/>
      <c r="Q1101" s="19"/>
      <c r="U1101" s="20"/>
      <c r="V1101" s="28"/>
    </row>
    <row r="1102" spans="11:22" x14ac:dyDescent="0.45">
      <c r="K1102" s="19"/>
      <c r="L1102" s="20"/>
      <c r="M1102" s="19"/>
      <c r="N1102" s="29"/>
      <c r="O1102" s="19"/>
      <c r="P1102" s="19"/>
      <c r="Q1102" s="19"/>
      <c r="U1102" s="20"/>
      <c r="V1102" s="28"/>
    </row>
    <row r="1103" spans="11:22" x14ac:dyDescent="0.45">
      <c r="K1103" s="19"/>
      <c r="L1103" s="20"/>
      <c r="M1103" s="19"/>
      <c r="N1103" s="29"/>
      <c r="O1103" s="19"/>
      <c r="P1103" s="19"/>
      <c r="Q1103" s="19"/>
      <c r="U1103" s="20"/>
      <c r="V1103" s="28"/>
    </row>
    <row r="1104" spans="11:22" x14ac:dyDescent="0.45">
      <c r="K1104" s="19"/>
      <c r="L1104" s="20"/>
      <c r="M1104" s="19"/>
      <c r="N1104" s="29"/>
      <c r="O1104" s="19"/>
      <c r="P1104" s="19"/>
      <c r="Q1104" s="19"/>
      <c r="U1104" s="20"/>
      <c r="V1104" s="28"/>
    </row>
    <row r="1105" spans="11:22" x14ac:dyDescent="0.45">
      <c r="K1105" s="19"/>
      <c r="L1105" s="20"/>
      <c r="M1105" s="19"/>
      <c r="N1105" s="29"/>
      <c r="O1105" s="19"/>
      <c r="P1105" s="19"/>
      <c r="Q1105" s="19"/>
      <c r="U1105" s="20"/>
      <c r="V1105" s="28"/>
    </row>
    <row r="1106" spans="11:22" x14ac:dyDescent="0.45">
      <c r="K1106" s="19"/>
      <c r="L1106" s="20"/>
      <c r="M1106" s="19"/>
      <c r="N1106" s="29"/>
      <c r="O1106" s="19"/>
      <c r="P1106" s="19"/>
      <c r="Q1106" s="19"/>
      <c r="U1106" s="20"/>
      <c r="V1106" s="28"/>
    </row>
    <row r="1107" spans="11:22" x14ac:dyDescent="0.45">
      <c r="K1107" s="19"/>
      <c r="L1107" s="20"/>
      <c r="M1107" s="19"/>
      <c r="N1107" s="29"/>
      <c r="O1107" s="19"/>
      <c r="P1107" s="19"/>
      <c r="Q1107" s="19"/>
      <c r="U1107" s="20"/>
      <c r="V1107" s="28"/>
    </row>
    <row r="1108" spans="11:22" x14ac:dyDescent="0.45">
      <c r="K1108" s="19"/>
      <c r="L1108" s="20"/>
      <c r="M1108" s="19"/>
      <c r="N1108" s="29"/>
      <c r="O1108" s="19"/>
      <c r="P1108" s="19"/>
      <c r="Q1108" s="19"/>
      <c r="U1108" s="20"/>
      <c r="V1108" s="28"/>
    </row>
    <row r="1109" spans="11:22" x14ac:dyDescent="0.45">
      <c r="K1109" s="19"/>
      <c r="L1109" s="20"/>
      <c r="M1109" s="19"/>
      <c r="N1109" s="29"/>
      <c r="O1109" s="19"/>
      <c r="P1109" s="19"/>
      <c r="Q1109" s="19"/>
      <c r="U1109" s="20"/>
      <c r="V1109" s="28"/>
    </row>
    <row r="1110" spans="11:22" x14ac:dyDescent="0.45">
      <c r="K1110" s="19"/>
      <c r="L1110" s="20"/>
      <c r="M1110" s="19"/>
      <c r="N1110" s="29"/>
      <c r="O1110" s="19"/>
      <c r="P1110" s="19"/>
      <c r="Q1110" s="19"/>
      <c r="U1110" s="20"/>
      <c r="V1110" s="28"/>
    </row>
    <row r="1111" spans="11:22" x14ac:dyDescent="0.45">
      <c r="K1111" s="19"/>
      <c r="L1111" s="20"/>
      <c r="M1111" s="19"/>
      <c r="N1111" s="29"/>
      <c r="O1111" s="19"/>
      <c r="P1111" s="19"/>
      <c r="Q1111" s="19"/>
      <c r="U1111" s="20"/>
      <c r="V1111" s="28"/>
    </row>
    <row r="1112" spans="11:22" x14ac:dyDescent="0.45">
      <c r="K1112" s="19"/>
      <c r="L1112" s="20"/>
      <c r="M1112" s="19"/>
      <c r="N1112" s="29"/>
      <c r="O1112" s="19"/>
      <c r="P1112" s="19"/>
      <c r="Q1112" s="19"/>
      <c r="U1112" s="20"/>
      <c r="V1112" s="28"/>
    </row>
    <row r="1113" spans="11:22" x14ac:dyDescent="0.45">
      <c r="K1113" s="19"/>
      <c r="L1113" s="20"/>
      <c r="M1113" s="19"/>
      <c r="N1113" s="29"/>
      <c r="O1113" s="19"/>
      <c r="P1113" s="19"/>
      <c r="Q1113" s="19"/>
      <c r="U1113" s="20"/>
      <c r="V1113" s="28"/>
    </row>
    <row r="1114" spans="11:22" x14ac:dyDescent="0.45">
      <c r="K1114" s="19"/>
      <c r="L1114" s="20"/>
      <c r="M1114" s="19"/>
      <c r="N1114" s="29"/>
      <c r="O1114" s="19"/>
      <c r="P1114" s="19"/>
      <c r="Q1114" s="19"/>
      <c r="U1114" s="20"/>
      <c r="V1114" s="28"/>
    </row>
    <row r="1115" spans="11:22" x14ac:dyDescent="0.45">
      <c r="K1115" s="19"/>
      <c r="L1115" s="20"/>
      <c r="M1115" s="19"/>
      <c r="N1115" s="29"/>
      <c r="O1115" s="19"/>
      <c r="P1115" s="19"/>
      <c r="Q1115" s="19"/>
      <c r="U1115" s="20"/>
      <c r="V1115" s="28"/>
    </row>
    <row r="1116" spans="11:22" x14ac:dyDescent="0.45">
      <c r="K1116" s="19"/>
      <c r="L1116" s="20"/>
      <c r="M1116" s="19"/>
      <c r="N1116" s="29"/>
      <c r="O1116" s="19"/>
      <c r="P1116" s="19"/>
      <c r="Q1116" s="19"/>
      <c r="U1116" s="20"/>
      <c r="V1116" s="28"/>
    </row>
    <row r="1117" spans="11:22" x14ac:dyDescent="0.45">
      <c r="K1117" s="19"/>
      <c r="L1117" s="20"/>
      <c r="M1117" s="19"/>
      <c r="N1117" s="29"/>
      <c r="O1117" s="19"/>
      <c r="P1117" s="19"/>
      <c r="Q1117" s="19"/>
      <c r="U1117" s="20"/>
      <c r="V1117" s="28"/>
    </row>
    <row r="1118" spans="11:22" x14ac:dyDescent="0.45">
      <c r="K1118" s="19"/>
      <c r="L1118" s="20"/>
      <c r="M1118" s="19"/>
      <c r="N1118" s="29"/>
      <c r="O1118" s="19"/>
      <c r="P1118" s="19"/>
      <c r="Q1118" s="19"/>
      <c r="U1118" s="20"/>
      <c r="V1118" s="28"/>
    </row>
    <row r="1119" spans="11:22" x14ac:dyDescent="0.45">
      <c r="K1119" s="19"/>
      <c r="L1119" s="20"/>
      <c r="M1119" s="19"/>
      <c r="N1119" s="29"/>
      <c r="O1119" s="19"/>
      <c r="P1119" s="19"/>
      <c r="Q1119" s="19"/>
      <c r="U1119" s="20"/>
      <c r="V1119" s="28"/>
    </row>
    <row r="1120" spans="11:22" x14ac:dyDescent="0.45">
      <c r="K1120" s="19"/>
      <c r="L1120" s="20"/>
      <c r="M1120" s="19"/>
      <c r="N1120" s="29"/>
      <c r="O1120" s="19"/>
      <c r="P1120" s="19"/>
      <c r="Q1120" s="19"/>
      <c r="U1120" s="20"/>
      <c r="V1120" s="28"/>
    </row>
    <row r="1121" spans="11:22" x14ac:dyDescent="0.45">
      <c r="K1121" s="19"/>
      <c r="L1121" s="20"/>
      <c r="M1121" s="19"/>
      <c r="N1121" s="29"/>
      <c r="O1121" s="19"/>
      <c r="P1121" s="19"/>
      <c r="Q1121" s="19"/>
      <c r="U1121" s="20"/>
      <c r="V1121" s="28"/>
    </row>
    <row r="1122" spans="11:22" x14ac:dyDescent="0.45">
      <c r="K1122" s="19"/>
      <c r="L1122" s="20"/>
      <c r="M1122" s="19"/>
      <c r="N1122" s="29"/>
      <c r="O1122" s="19"/>
      <c r="P1122" s="19"/>
      <c r="Q1122" s="19"/>
      <c r="U1122" s="20"/>
      <c r="V1122" s="28"/>
    </row>
    <row r="1123" spans="11:22" x14ac:dyDescent="0.45">
      <c r="K1123" s="19"/>
      <c r="L1123" s="20"/>
      <c r="M1123" s="19"/>
      <c r="N1123" s="29"/>
      <c r="O1123" s="19"/>
      <c r="P1123" s="19"/>
      <c r="Q1123" s="19"/>
      <c r="U1123" s="20"/>
      <c r="V1123" s="28"/>
    </row>
    <row r="1124" spans="11:22" x14ac:dyDescent="0.45">
      <c r="K1124" s="19"/>
      <c r="L1124" s="20"/>
      <c r="M1124" s="19"/>
      <c r="N1124" s="29"/>
      <c r="O1124" s="19"/>
      <c r="P1124" s="19"/>
      <c r="Q1124" s="19"/>
      <c r="U1124" s="20"/>
      <c r="V1124" s="28"/>
    </row>
    <row r="1125" spans="11:22" x14ac:dyDescent="0.45">
      <c r="K1125" s="19"/>
      <c r="L1125" s="20"/>
      <c r="M1125" s="19"/>
      <c r="N1125" s="29"/>
      <c r="O1125" s="19"/>
      <c r="P1125" s="19"/>
      <c r="Q1125" s="19"/>
      <c r="U1125" s="20"/>
      <c r="V1125" s="28"/>
    </row>
    <row r="1126" spans="11:22" x14ac:dyDescent="0.45">
      <c r="K1126" s="19"/>
      <c r="L1126" s="20"/>
      <c r="M1126" s="19"/>
      <c r="N1126" s="29"/>
      <c r="O1126" s="19"/>
      <c r="P1126" s="19"/>
      <c r="Q1126" s="19"/>
      <c r="U1126" s="20"/>
      <c r="V1126" s="28"/>
    </row>
    <row r="1127" spans="11:22" x14ac:dyDescent="0.45">
      <c r="K1127" s="19"/>
      <c r="L1127" s="20"/>
      <c r="M1127" s="19"/>
      <c r="N1127" s="29"/>
      <c r="O1127" s="19"/>
      <c r="P1127" s="19"/>
      <c r="Q1127" s="19"/>
      <c r="U1127" s="20"/>
      <c r="V1127" s="28"/>
    </row>
    <row r="1128" spans="11:22" x14ac:dyDescent="0.45">
      <c r="K1128" s="19"/>
      <c r="L1128" s="20"/>
      <c r="M1128" s="19"/>
      <c r="N1128" s="29"/>
      <c r="O1128" s="19"/>
      <c r="P1128" s="19"/>
      <c r="Q1128" s="19"/>
      <c r="U1128" s="20"/>
      <c r="V1128" s="28"/>
    </row>
    <row r="1129" spans="11:22" x14ac:dyDescent="0.45">
      <c r="K1129" s="19"/>
      <c r="L1129" s="20"/>
      <c r="M1129" s="19"/>
      <c r="N1129" s="29"/>
      <c r="O1129" s="19"/>
      <c r="P1129" s="19"/>
      <c r="Q1129" s="19"/>
      <c r="U1129" s="20"/>
      <c r="V1129" s="28"/>
    </row>
    <row r="1130" spans="11:22" x14ac:dyDescent="0.45">
      <c r="K1130" s="19"/>
      <c r="L1130" s="20"/>
      <c r="M1130" s="19"/>
      <c r="N1130" s="29"/>
      <c r="O1130" s="19"/>
      <c r="P1130" s="19"/>
      <c r="Q1130" s="19"/>
      <c r="U1130" s="20"/>
      <c r="V1130" s="28"/>
    </row>
    <row r="1131" spans="11:22" x14ac:dyDescent="0.45">
      <c r="K1131" s="19"/>
      <c r="L1131" s="20"/>
      <c r="M1131" s="19"/>
      <c r="N1131" s="29"/>
      <c r="O1131" s="19"/>
      <c r="P1131" s="19"/>
      <c r="Q1131" s="19"/>
      <c r="U1131" s="20"/>
      <c r="V1131" s="28"/>
    </row>
    <row r="1132" spans="11:22" x14ac:dyDescent="0.45">
      <c r="K1132" s="19"/>
      <c r="L1132" s="20"/>
      <c r="M1132" s="19"/>
      <c r="N1132" s="29"/>
      <c r="O1132" s="19"/>
      <c r="P1132" s="19"/>
      <c r="Q1132" s="19"/>
      <c r="U1132" s="20"/>
      <c r="V1132" s="28"/>
    </row>
    <row r="1133" spans="11:22" x14ac:dyDescent="0.45">
      <c r="K1133" s="19"/>
      <c r="L1133" s="20"/>
      <c r="M1133" s="19"/>
      <c r="N1133" s="29"/>
      <c r="O1133" s="19"/>
      <c r="P1133" s="19"/>
      <c r="Q1133" s="19"/>
      <c r="U1133" s="20"/>
      <c r="V1133" s="28"/>
    </row>
    <row r="1134" spans="11:22" x14ac:dyDescent="0.45">
      <c r="K1134" s="19"/>
      <c r="L1134" s="20"/>
      <c r="M1134" s="19"/>
      <c r="N1134" s="29"/>
      <c r="O1134" s="19"/>
      <c r="P1134" s="19"/>
      <c r="Q1134" s="19"/>
      <c r="U1134" s="20"/>
      <c r="V1134" s="28"/>
    </row>
    <row r="1135" spans="11:22" x14ac:dyDescent="0.45">
      <c r="K1135" s="19"/>
      <c r="L1135" s="20"/>
      <c r="M1135" s="19"/>
      <c r="N1135" s="29"/>
      <c r="O1135" s="19"/>
      <c r="P1135" s="19"/>
      <c r="Q1135" s="19"/>
      <c r="U1135" s="20"/>
      <c r="V1135" s="28"/>
    </row>
    <row r="1136" spans="11:22" x14ac:dyDescent="0.45">
      <c r="K1136" s="19"/>
      <c r="L1136" s="20"/>
      <c r="M1136" s="19"/>
      <c r="N1136" s="29"/>
      <c r="O1136" s="19"/>
      <c r="P1136" s="19"/>
      <c r="Q1136" s="19"/>
      <c r="U1136" s="20"/>
      <c r="V1136" s="28"/>
    </row>
    <row r="1137" spans="11:22" x14ac:dyDescent="0.45">
      <c r="K1137" s="19"/>
      <c r="L1137" s="20"/>
      <c r="M1137" s="19"/>
      <c r="N1137" s="29"/>
      <c r="O1137" s="19"/>
      <c r="P1137" s="19"/>
      <c r="Q1137" s="19"/>
      <c r="U1137" s="20"/>
      <c r="V1137" s="28"/>
    </row>
    <row r="1138" spans="11:22" x14ac:dyDescent="0.45">
      <c r="K1138" s="19"/>
      <c r="L1138" s="20"/>
      <c r="M1138" s="19"/>
      <c r="N1138" s="29"/>
      <c r="O1138" s="19"/>
      <c r="P1138" s="19"/>
      <c r="Q1138" s="19"/>
      <c r="U1138" s="20"/>
      <c r="V1138" s="28"/>
    </row>
    <row r="1139" spans="11:22" x14ac:dyDescent="0.45">
      <c r="K1139" s="19"/>
      <c r="L1139" s="20"/>
      <c r="M1139" s="19"/>
      <c r="N1139" s="29"/>
      <c r="O1139" s="19"/>
      <c r="P1139" s="19"/>
      <c r="Q1139" s="19"/>
      <c r="U1139" s="20"/>
      <c r="V1139" s="28"/>
    </row>
    <row r="1140" spans="11:22" x14ac:dyDescent="0.45">
      <c r="K1140" s="19"/>
      <c r="L1140" s="20"/>
      <c r="M1140" s="19"/>
      <c r="N1140" s="29"/>
      <c r="O1140" s="19"/>
      <c r="P1140" s="19"/>
      <c r="Q1140" s="19"/>
      <c r="U1140" s="20"/>
      <c r="V1140" s="28"/>
    </row>
    <row r="1141" spans="11:22" x14ac:dyDescent="0.45">
      <c r="K1141" s="19"/>
      <c r="L1141" s="20"/>
      <c r="M1141" s="19"/>
      <c r="N1141" s="29"/>
      <c r="O1141" s="19"/>
      <c r="P1141" s="19"/>
      <c r="Q1141" s="19"/>
      <c r="U1141" s="20"/>
      <c r="V1141" s="28"/>
    </row>
    <row r="1142" spans="11:22" x14ac:dyDescent="0.45">
      <c r="K1142" s="19"/>
      <c r="L1142" s="20"/>
      <c r="M1142" s="19"/>
      <c r="N1142" s="29"/>
      <c r="O1142" s="19"/>
      <c r="P1142" s="19"/>
      <c r="Q1142" s="19"/>
      <c r="U1142" s="20"/>
      <c r="V1142" s="28"/>
    </row>
    <row r="1143" spans="11:22" x14ac:dyDescent="0.45">
      <c r="K1143" s="19"/>
      <c r="L1143" s="20"/>
      <c r="M1143" s="19"/>
      <c r="N1143" s="29"/>
      <c r="O1143" s="19"/>
      <c r="P1143" s="19"/>
      <c r="Q1143" s="19"/>
      <c r="U1143" s="20"/>
      <c r="V1143" s="28"/>
    </row>
    <row r="1144" spans="11:22" x14ac:dyDescent="0.45">
      <c r="K1144" s="19"/>
      <c r="L1144" s="20"/>
      <c r="M1144" s="19"/>
      <c r="N1144" s="29"/>
      <c r="O1144" s="19"/>
      <c r="P1144" s="19"/>
      <c r="Q1144" s="19"/>
      <c r="U1144" s="20"/>
      <c r="V1144" s="28"/>
    </row>
    <row r="1145" spans="11:22" x14ac:dyDescent="0.45">
      <c r="K1145" s="19"/>
      <c r="L1145" s="20"/>
      <c r="M1145" s="19"/>
      <c r="N1145" s="29"/>
      <c r="O1145" s="19"/>
      <c r="P1145" s="19"/>
      <c r="Q1145" s="19"/>
      <c r="U1145" s="20"/>
      <c r="V1145" s="28"/>
    </row>
    <row r="1146" spans="11:22" x14ac:dyDescent="0.45">
      <c r="K1146" s="19"/>
      <c r="L1146" s="20"/>
      <c r="M1146" s="19"/>
      <c r="N1146" s="29"/>
      <c r="O1146" s="19"/>
      <c r="P1146" s="19"/>
      <c r="Q1146" s="19"/>
      <c r="U1146" s="20"/>
      <c r="V1146" s="28"/>
    </row>
    <row r="1147" spans="11:22" x14ac:dyDescent="0.45">
      <c r="K1147" s="19"/>
      <c r="L1147" s="20"/>
      <c r="M1147" s="19"/>
      <c r="N1147" s="29"/>
      <c r="O1147" s="19"/>
      <c r="P1147" s="19"/>
      <c r="Q1147" s="19"/>
      <c r="U1147" s="20"/>
      <c r="V1147" s="28"/>
    </row>
    <row r="1148" spans="11:22" x14ac:dyDescent="0.45">
      <c r="K1148" s="19"/>
      <c r="L1148" s="20"/>
      <c r="M1148" s="19"/>
      <c r="N1148" s="29"/>
      <c r="O1148" s="19"/>
      <c r="P1148" s="19"/>
      <c r="Q1148" s="19"/>
      <c r="U1148" s="20"/>
      <c r="V1148" s="28"/>
    </row>
    <row r="1149" spans="11:22" x14ac:dyDescent="0.45">
      <c r="K1149" s="19"/>
      <c r="L1149" s="20"/>
      <c r="M1149" s="19"/>
      <c r="N1149" s="29"/>
      <c r="O1149" s="19"/>
      <c r="P1149" s="19"/>
      <c r="Q1149" s="19"/>
      <c r="U1149" s="20"/>
      <c r="V1149" s="28"/>
    </row>
    <row r="1150" spans="11:22" x14ac:dyDescent="0.45">
      <c r="K1150" s="19"/>
      <c r="L1150" s="20"/>
      <c r="M1150" s="19"/>
      <c r="N1150" s="29"/>
      <c r="O1150" s="19"/>
      <c r="P1150" s="19"/>
      <c r="Q1150" s="19"/>
      <c r="U1150" s="20"/>
      <c r="V1150" s="28"/>
    </row>
    <row r="1151" spans="11:22" x14ac:dyDescent="0.45">
      <c r="K1151" s="19"/>
      <c r="L1151" s="20"/>
      <c r="M1151" s="19"/>
      <c r="N1151" s="29"/>
      <c r="O1151" s="19"/>
      <c r="P1151" s="19"/>
      <c r="Q1151" s="19"/>
      <c r="U1151" s="20"/>
      <c r="V1151" s="28"/>
    </row>
    <row r="1152" spans="11:22" x14ac:dyDescent="0.45">
      <c r="K1152" s="19"/>
      <c r="L1152" s="20"/>
      <c r="M1152" s="19"/>
      <c r="N1152" s="29"/>
      <c r="O1152" s="19"/>
      <c r="P1152" s="19"/>
      <c r="Q1152" s="19"/>
      <c r="U1152" s="20"/>
      <c r="V1152" s="28"/>
    </row>
    <row r="1153" spans="11:22" x14ac:dyDescent="0.45">
      <c r="K1153" s="19"/>
      <c r="L1153" s="20"/>
      <c r="M1153" s="19"/>
      <c r="N1153" s="29"/>
      <c r="O1153" s="19"/>
      <c r="P1153" s="19"/>
      <c r="Q1153" s="19"/>
      <c r="U1153" s="20"/>
      <c r="V1153" s="28"/>
    </row>
    <row r="1154" spans="11:22" x14ac:dyDescent="0.45">
      <c r="K1154" s="19"/>
      <c r="L1154" s="20"/>
      <c r="M1154" s="19"/>
      <c r="N1154" s="29"/>
      <c r="O1154" s="19"/>
      <c r="P1154" s="19"/>
      <c r="Q1154" s="19"/>
      <c r="U1154" s="20"/>
      <c r="V1154" s="28"/>
    </row>
    <row r="1155" spans="11:22" x14ac:dyDescent="0.45">
      <c r="K1155" s="19"/>
      <c r="L1155" s="20"/>
      <c r="M1155" s="19"/>
      <c r="N1155" s="29"/>
      <c r="O1155" s="19"/>
      <c r="P1155" s="19"/>
      <c r="Q1155" s="19"/>
      <c r="U1155" s="20"/>
      <c r="V1155" s="28"/>
    </row>
    <row r="1156" spans="11:22" x14ac:dyDescent="0.45">
      <c r="K1156" s="19"/>
      <c r="L1156" s="20"/>
      <c r="M1156" s="19"/>
      <c r="N1156" s="29"/>
      <c r="O1156" s="19"/>
      <c r="P1156" s="19"/>
      <c r="Q1156" s="19"/>
      <c r="U1156" s="20"/>
      <c r="V1156" s="28"/>
    </row>
    <row r="1157" spans="11:22" x14ac:dyDescent="0.45">
      <c r="K1157" s="19"/>
      <c r="L1157" s="20"/>
      <c r="M1157" s="19"/>
      <c r="N1157" s="29"/>
      <c r="O1157" s="19"/>
      <c r="P1157" s="19"/>
      <c r="Q1157" s="19"/>
      <c r="U1157" s="20"/>
      <c r="V1157" s="28"/>
    </row>
    <row r="1158" spans="11:22" x14ac:dyDescent="0.45">
      <c r="K1158" s="19"/>
      <c r="L1158" s="20"/>
      <c r="M1158" s="19"/>
      <c r="N1158" s="29"/>
      <c r="O1158" s="19"/>
      <c r="P1158" s="19"/>
      <c r="Q1158" s="19"/>
      <c r="U1158" s="20"/>
      <c r="V1158" s="28"/>
    </row>
    <row r="1159" spans="11:22" x14ac:dyDescent="0.45">
      <c r="K1159" s="19"/>
      <c r="L1159" s="20"/>
      <c r="M1159" s="19"/>
      <c r="N1159" s="29"/>
      <c r="O1159" s="19"/>
      <c r="P1159" s="19"/>
      <c r="Q1159" s="19"/>
      <c r="U1159" s="20"/>
      <c r="V1159" s="28"/>
    </row>
    <row r="1160" spans="11:22" x14ac:dyDescent="0.45">
      <c r="K1160" s="19"/>
      <c r="L1160" s="20"/>
      <c r="M1160" s="19"/>
      <c r="N1160" s="29"/>
      <c r="O1160" s="19"/>
      <c r="P1160" s="19"/>
      <c r="Q1160" s="19"/>
      <c r="U1160" s="20"/>
      <c r="V1160" s="28"/>
    </row>
    <row r="1161" spans="11:22" x14ac:dyDescent="0.45">
      <c r="K1161" s="19"/>
      <c r="L1161" s="20"/>
      <c r="M1161" s="19"/>
      <c r="N1161" s="29"/>
      <c r="O1161" s="19"/>
      <c r="P1161" s="19"/>
      <c r="Q1161" s="19"/>
      <c r="U1161" s="20"/>
      <c r="V1161" s="28"/>
    </row>
    <row r="1162" spans="11:22" x14ac:dyDescent="0.45">
      <c r="K1162" s="19"/>
      <c r="L1162" s="20"/>
      <c r="M1162" s="19"/>
      <c r="N1162" s="29"/>
      <c r="O1162" s="19"/>
      <c r="P1162" s="19"/>
      <c r="Q1162" s="19"/>
      <c r="U1162" s="20"/>
      <c r="V1162" s="28"/>
    </row>
    <row r="1163" spans="11:22" x14ac:dyDescent="0.45">
      <c r="K1163" s="19"/>
      <c r="L1163" s="20"/>
      <c r="M1163" s="19"/>
      <c r="N1163" s="29"/>
      <c r="O1163" s="19"/>
      <c r="P1163" s="19"/>
      <c r="Q1163" s="19"/>
      <c r="U1163" s="20"/>
      <c r="V1163" s="28"/>
    </row>
    <row r="1164" spans="11:22" x14ac:dyDescent="0.45">
      <c r="K1164" s="19"/>
      <c r="L1164" s="20"/>
      <c r="M1164" s="19"/>
      <c r="N1164" s="29"/>
      <c r="O1164" s="19"/>
      <c r="P1164" s="19"/>
      <c r="Q1164" s="19"/>
      <c r="U1164" s="20"/>
      <c r="V1164" s="28"/>
    </row>
    <row r="1165" spans="11:22" x14ac:dyDescent="0.45">
      <c r="K1165" s="19"/>
      <c r="L1165" s="20"/>
      <c r="M1165" s="19"/>
      <c r="N1165" s="29"/>
      <c r="O1165" s="19"/>
      <c r="P1165" s="19"/>
      <c r="Q1165" s="19"/>
      <c r="U1165" s="20"/>
      <c r="V1165" s="28"/>
    </row>
    <row r="1166" spans="11:22" x14ac:dyDescent="0.45">
      <c r="K1166" s="19"/>
      <c r="L1166" s="20"/>
      <c r="M1166" s="19"/>
      <c r="N1166" s="29"/>
      <c r="O1166" s="19"/>
      <c r="P1166" s="19"/>
      <c r="Q1166" s="19"/>
      <c r="U1166" s="20"/>
      <c r="V1166" s="28"/>
    </row>
    <row r="1167" spans="11:22" x14ac:dyDescent="0.45">
      <c r="K1167" s="19"/>
      <c r="L1167" s="20"/>
      <c r="M1167" s="19"/>
      <c r="N1167" s="29"/>
      <c r="O1167" s="19"/>
      <c r="P1167" s="19"/>
      <c r="Q1167" s="19"/>
      <c r="U1167" s="20"/>
      <c r="V1167" s="28"/>
    </row>
    <row r="1168" spans="11:22" x14ac:dyDescent="0.45">
      <c r="K1168" s="19"/>
      <c r="L1168" s="20"/>
      <c r="M1168" s="19"/>
      <c r="N1168" s="29"/>
      <c r="O1168" s="19"/>
      <c r="P1168" s="19"/>
      <c r="Q1168" s="19"/>
      <c r="U1168" s="20"/>
      <c r="V1168" s="28"/>
    </row>
    <row r="1169" spans="11:22" x14ac:dyDescent="0.45">
      <c r="K1169" s="19"/>
      <c r="L1169" s="20"/>
      <c r="M1169" s="19"/>
      <c r="N1169" s="29"/>
      <c r="O1169" s="19"/>
      <c r="P1169" s="19"/>
      <c r="Q1169" s="19"/>
      <c r="U1169" s="20"/>
      <c r="V1169" s="28"/>
    </row>
    <row r="1170" spans="11:22" x14ac:dyDescent="0.45">
      <c r="K1170" s="19"/>
      <c r="L1170" s="20"/>
      <c r="M1170" s="19"/>
      <c r="N1170" s="29"/>
      <c r="O1170" s="19"/>
      <c r="P1170" s="19"/>
      <c r="Q1170" s="19"/>
      <c r="U1170" s="20"/>
      <c r="V1170" s="28"/>
    </row>
    <row r="1171" spans="11:22" x14ac:dyDescent="0.45">
      <c r="K1171" s="19"/>
      <c r="L1171" s="20"/>
      <c r="M1171" s="19"/>
      <c r="N1171" s="29"/>
      <c r="O1171" s="19"/>
      <c r="P1171" s="19"/>
      <c r="Q1171" s="19"/>
      <c r="U1171" s="20"/>
      <c r="V1171" s="28"/>
    </row>
    <row r="1172" spans="11:22" x14ac:dyDescent="0.45">
      <c r="K1172" s="19"/>
      <c r="L1172" s="20"/>
      <c r="M1172" s="19"/>
      <c r="N1172" s="29"/>
      <c r="O1172" s="19"/>
      <c r="P1172" s="19"/>
      <c r="Q1172" s="19"/>
      <c r="U1172" s="20"/>
      <c r="V1172" s="28"/>
    </row>
    <row r="1173" spans="11:22" x14ac:dyDescent="0.45">
      <c r="K1173" s="19"/>
      <c r="L1173" s="20"/>
      <c r="M1173" s="19"/>
      <c r="N1173" s="29"/>
      <c r="O1173" s="19"/>
      <c r="P1173" s="19"/>
      <c r="Q1173" s="19"/>
      <c r="U1173" s="20"/>
      <c r="V1173" s="28"/>
    </row>
    <row r="1174" spans="11:22" x14ac:dyDescent="0.45">
      <c r="K1174" s="19"/>
      <c r="L1174" s="20"/>
      <c r="M1174" s="19"/>
      <c r="N1174" s="29"/>
      <c r="O1174" s="19"/>
      <c r="P1174" s="19"/>
      <c r="Q1174" s="19"/>
      <c r="U1174" s="20"/>
      <c r="V1174" s="28"/>
    </row>
    <row r="1175" spans="11:22" x14ac:dyDescent="0.45">
      <c r="K1175" s="19"/>
      <c r="L1175" s="20"/>
      <c r="M1175" s="19"/>
      <c r="N1175" s="29"/>
      <c r="O1175" s="19"/>
      <c r="P1175" s="19"/>
      <c r="Q1175" s="19"/>
      <c r="U1175" s="20"/>
      <c r="V1175" s="28"/>
    </row>
    <row r="1176" spans="11:22" x14ac:dyDescent="0.45">
      <c r="K1176" s="19"/>
      <c r="L1176" s="20"/>
      <c r="M1176" s="19"/>
      <c r="N1176" s="29"/>
      <c r="O1176" s="19"/>
      <c r="P1176" s="19"/>
      <c r="Q1176" s="19"/>
      <c r="U1176" s="20"/>
      <c r="V1176" s="28"/>
    </row>
    <row r="1177" spans="11:22" x14ac:dyDescent="0.45">
      <c r="K1177" s="19"/>
      <c r="L1177" s="20"/>
      <c r="M1177" s="19"/>
      <c r="N1177" s="29"/>
      <c r="O1177" s="19"/>
      <c r="P1177" s="19"/>
      <c r="Q1177" s="19"/>
      <c r="U1177" s="20"/>
      <c r="V1177" s="28"/>
    </row>
    <row r="1178" spans="11:22" x14ac:dyDescent="0.45">
      <c r="K1178" s="19"/>
      <c r="L1178" s="20"/>
      <c r="M1178" s="19"/>
      <c r="N1178" s="29"/>
      <c r="O1178" s="19"/>
      <c r="P1178" s="19"/>
      <c r="Q1178" s="19"/>
      <c r="U1178" s="20"/>
      <c r="V1178" s="28"/>
    </row>
    <row r="1179" spans="11:22" x14ac:dyDescent="0.45">
      <c r="K1179" s="19"/>
      <c r="L1179" s="20"/>
      <c r="M1179" s="19"/>
      <c r="N1179" s="29"/>
      <c r="O1179" s="19"/>
      <c r="P1179" s="19"/>
      <c r="Q1179" s="19"/>
      <c r="U1179" s="20"/>
      <c r="V1179" s="28"/>
    </row>
    <row r="1180" spans="11:22" x14ac:dyDescent="0.45">
      <c r="K1180" s="19"/>
      <c r="L1180" s="20"/>
      <c r="M1180" s="19"/>
      <c r="N1180" s="29"/>
      <c r="O1180" s="19"/>
      <c r="P1180" s="19"/>
      <c r="Q1180" s="19"/>
      <c r="U1180" s="20"/>
      <c r="V1180" s="28"/>
    </row>
    <row r="1181" spans="11:22" x14ac:dyDescent="0.45">
      <c r="K1181" s="19"/>
      <c r="L1181" s="20"/>
      <c r="M1181" s="19"/>
      <c r="N1181" s="29"/>
      <c r="O1181" s="19"/>
      <c r="P1181" s="19"/>
      <c r="Q1181" s="19"/>
      <c r="U1181" s="20"/>
      <c r="V1181" s="28"/>
    </row>
    <row r="1182" spans="11:22" x14ac:dyDescent="0.45">
      <c r="K1182" s="19"/>
      <c r="L1182" s="20"/>
      <c r="M1182" s="19"/>
      <c r="N1182" s="29"/>
      <c r="O1182" s="19"/>
      <c r="P1182" s="19"/>
      <c r="Q1182" s="19"/>
      <c r="U1182" s="20"/>
      <c r="V1182" s="28"/>
    </row>
    <row r="1183" spans="11:22" x14ac:dyDescent="0.45">
      <c r="K1183" s="19"/>
      <c r="L1183" s="20"/>
      <c r="M1183" s="19"/>
      <c r="N1183" s="29"/>
      <c r="O1183" s="19"/>
      <c r="P1183" s="19"/>
      <c r="Q1183" s="19"/>
      <c r="U1183" s="20"/>
      <c r="V1183" s="28"/>
    </row>
    <row r="1184" spans="11:22" x14ac:dyDescent="0.45">
      <c r="K1184" s="19"/>
      <c r="L1184" s="20"/>
      <c r="M1184" s="19"/>
      <c r="N1184" s="29"/>
      <c r="O1184" s="19"/>
      <c r="P1184" s="19"/>
      <c r="Q1184" s="19"/>
      <c r="U1184" s="20"/>
      <c r="V1184" s="28"/>
    </row>
    <row r="1185" spans="11:22" x14ac:dyDescent="0.45">
      <c r="K1185" s="19"/>
      <c r="L1185" s="20"/>
      <c r="M1185" s="19"/>
      <c r="N1185" s="29"/>
      <c r="O1185" s="19"/>
      <c r="P1185" s="19"/>
      <c r="Q1185" s="19"/>
      <c r="U1185" s="20"/>
      <c r="V1185" s="28"/>
    </row>
    <row r="1186" spans="11:22" x14ac:dyDescent="0.45">
      <c r="K1186" s="19"/>
      <c r="L1186" s="20"/>
      <c r="M1186" s="19"/>
      <c r="N1186" s="29"/>
      <c r="O1186" s="19"/>
      <c r="P1186" s="19"/>
      <c r="Q1186" s="19"/>
      <c r="U1186" s="20"/>
      <c r="V1186" s="28"/>
    </row>
    <row r="1187" spans="11:22" x14ac:dyDescent="0.45">
      <c r="K1187" s="19"/>
      <c r="L1187" s="20"/>
      <c r="M1187" s="19"/>
      <c r="N1187" s="29"/>
      <c r="O1187" s="19"/>
      <c r="P1187" s="19"/>
      <c r="Q1187" s="19"/>
      <c r="U1187" s="20"/>
      <c r="V1187" s="28"/>
    </row>
    <row r="1188" spans="11:22" x14ac:dyDescent="0.45">
      <c r="K1188" s="19"/>
      <c r="L1188" s="20"/>
      <c r="M1188" s="19"/>
      <c r="N1188" s="29"/>
      <c r="O1188" s="19"/>
      <c r="P1188" s="19"/>
      <c r="Q1188" s="19"/>
      <c r="U1188" s="20"/>
      <c r="V1188" s="28"/>
    </row>
    <row r="1189" spans="11:22" x14ac:dyDescent="0.45">
      <c r="K1189" s="19"/>
      <c r="L1189" s="20"/>
      <c r="M1189" s="19"/>
      <c r="N1189" s="29"/>
      <c r="O1189" s="19"/>
      <c r="P1189" s="19"/>
      <c r="Q1189" s="19"/>
      <c r="U1189" s="20"/>
      <c r="V1189" s="28"/>
    </row>
    <row r="1190" spans="11:22" x14ac:dyDescent="0.45">
      <c r="K1190" s="19"/>
      <c r="L1190" s="20"/>
      <c r="M1190" s="19"/>
      <c r="N1190" s="29"/>
      <c r="O1190" s="19"/>
      <c r="P1190" s="19"/>
      <c r="Q1190" s="19"/>
      <c r="U1190" s="20"/>
      <c r="V1190" s="28"/>
    </row>
    <row r="1191" spans="11:22" x14ac:dyDescent="0.45">
      <c r="K1191" s="19"/>
      <c r="L1191" s="20"/>
      <c r="M1191" s="19"/>
      <c r="N1191" s="29"/>
      <c r="O1191" s="19"/>
      <c r="P1191" s="19"/>
      <c r="Q1191" s="19"/>
      <c r="U1191" s="20"/>
      <c r="V1191" s="28"/>
    </row>
    <row r="1192" spans="11:22" x14ac:dyDescent="0.45">
      <c r="K1192" s="19"/>
      <c r="L1192" s="20"/>
      <c r="M1192" s="19"/>
      <c r="N1192" s="29"/>
      <c r="O1192" s="19"/>
      <c r="P1192" s="19"/>
      <c r="Q1192" s="19"/>
      <c r="U1192" s="20"/>
      <c r="V1192" s="28"/>
    </row>
    <row r="1193" spans="11:22" x14ac:dyDescent="0.45">
      <c r="K1193" s="19"/>
      <c r="L1193" s="20"/>
      <c r="M1193" s="19"/>
      <c r="N1193" s="29"/>
      <c r="O1193" s="19"/>
      <c r="P1193" s="19"/>
      <c r="Q1193" s="19"/>
      <c r="U1193" s="20"/>
      <c r="V1193" s="28"/>
    </row>
    <row r="1194" spans="11:22" x14ac:dyDescent="0.45">
      <c r="K1194" s="19"/>
      <c r="L1194" s="20"/>
      <c r="M1194" s="19"/>
      <c r="N1194" s="29"/>
      <c r="O1194" s="19"/>
      <c r="P1194" s="19"/>
      <c r="Q1194" s="19"/>
      <c r="U1194" s="20"/>
      <c r="V1194" s="28"/>
    </row>
    <row r="1195" spans="11:22" x14ac:dyDescent="0.45">
      <c r="K1195" s="19"/>
      <c r="L1195" s="20"/>
      <c r="M1195" s="19"/>
      <c r="N1195" s="29"/>
      <c r="O1195" s="19"/>
      <c r="P1195" s="19"/>
      <c r="Q1195" s="19"/>
      <c r="U1195" s="20"/>
      <c r="V1195" s="28"/>
    </row>
    <row r="1196" spans="11:22" x14ac:dyDescent="0.45">
      <c r="K1196" s="19"/>
      <c r="L1196" s="20"/>
      <c r="M1196" s="19"/>
      <c r="N1196" s="29"/>
      <c r="O1196" s="19"/>
      <c r="P1196" s="19"/>
      <c r="Q1196" s="19"/>
      <c r="U1196" s="20"/>
      <c r="V1196" s="28"/>
    </row>
    <row r="1197" spans="11:22" x14ac:dyDescent="0.45">
      <c r="K1197" s="19"/>
      <c r="L1197" s="20"/>
      <c r="M1197" s="19"/>
      <c r="N1197" s="29"/>
      <c r="O1197" s="19"/>
      <c r="P1197" s="19"/>
      <c r="Q1197" s="19"/>
      <c r="U1197" s="20"/>
      <c r="V1197" s="28"/>
    </row>
    <row r="1198" spans="11:22" x14ac:dyDescent="0.45">
      <c r="K1198" s="19"/>
      <c r="L1198" s="20"/>
      <c r="M1198" s="19"/>
      <c r="N1198" s="29"/>
      <c r="O1198" s="19"/>
      <c r="P1198" s="19"/>
      <c r="Q1198" s="19"/>
      <c r="U1198" s="20"/>
      <c r="V1198" s="28"/>
    </row>
    <row r="1199" spans="11:22" x14ac:dyDescent="0.45">
      <c r="K1199" s="19"/>
      <c r="L1199" s="20"/>
      <c r="M1199" s="19"/>
      <c r="N1199" s="29"/>
      <c r="O1199" s="19"/>
      <c r="P1199" s="19"/>
      <c r="Q1199" s="19"/>
      <c r="U1199" s="20"/>
      <c r="V1199" s="28"/>
    </row>
    <row r="1200" spans="11:22" x14ac:dyDescent="0.45">
      <c r="K1200" s="19"/>
      <c r="L1200" s="20"/>
      <c r="M1200" s="19"/>
      <c r="N1200" s="29"/>
      <c r="O1200" s="19"/>
      <c r="P1200" s="19"/>
      <c r="Q1200" s="19"/>
      <c r="U1200" s="20"/>
      <c r="V1200" s="28"/>
    </row>
    <row r="1201" spans="11:22" x14ac:dyDescent="0.45">
      <c r="K1201" s="19"/>
      <c r="L1201" s="20"/>
      <c r="M1201" s="19"/>
      <c r="N1201" s="29"/>
      <c r="O1201" s="19"/>
      <c r="P1201" s="19"/>
      <c r="Q1201" s="19"/>
      <c r="U1201" s="20"/>
      <c r="V1201" s="28"/>
    </row>
    <row r="1202" spans="11:22" x14ac:dyDescent="0.45">
      <c r="K1202" s="19"/>
      <c r="L1202" s="20"/>
      <c r="M1202" s="19"/>
      <c r="N1202" s="29"/>
      <c r="O1202" s="19"/>
      <c r="P1202" s="19"/>
      <c r="Q1202" s="19"/>
      <c r="U1202" s="20"/>
      <c r="V1202" s="28"/>
    </row>
    <row r="1203" spans="11:22" x14ac:dyDescent="0.45">
      <c r="K1203" s="19"/>
      <c r="L1203" s="20"/>
      <c r="M1203" s="19"/>
      <c r="N1203" s="29"/>
      <c r="O1203" s="19"/>
      <c r="P1203" s="19"/>
      <c r="Q1203" s="19"/>
      <c r="U1203" s="20"/>
      <c r="V1203" s="28"/>
    </row>
    <row r="1204" spans="11:22" x14ac:dyDescent="0.45">
      <c r="K1204" s="19"/>
      <c r="L1204" s="20"/>
      <c r="M1204" s="19"/>
      <c r="N1204" s="29"/>
      <c r="O1204" s="19"/>
      <c r="P1204" s="19"/>
      <c r="Q1204" s="19"/>
      <c r="U1204" s="20"/>
      <c r="V1204" s="28"/>
    </row>
    <row r="1205" spans="11:22" x14ac:dyDescent="0.45">
      <c r="K1205" s="19"/>
      <c r="L1205" s="20"/>
      <c r="M1205" s="19"/>
      <c r="N1205" s="29"/>
      <c r="O1205" s="19"/>
      <c r="P1205" s="19"/>
      <c r="Q1205" s="19"/>
      <c r="U1205" s="20"/>
      <c r="V1205" s="28"/>
    </row>
    <row r="1206" spans="11:22" x14ac:dyDescent="0.45">
      <c r="K1206" s="19"/>
      <c r="L1206" s="20"/>
      <c r="M1206" s="19"/>
      <c r="N1206" s="29"/>
      <c r="O1206" s="19"/>
      <c r="P1206" s="19"/>
      <c r="Q1206" s="19"/>
      <c r="U1206" s="20"/>
      <c r="V1206" s="28"/>
    </row>
    <row r="1207" spans="11:22" x14ac:dyDescent="0.45">
      <c r="K1207" s="19"/>
      <c r="L1207" s="20"/>
      <c r="M1207" s="19"/>
      <c r="N1207" s="29"/>
      <c r="O1207" s="19"/>
      <c r="P1207" s="19"/>
      <c r="Q1207" s="19"/>
      <c r="U1207" s="20"/>
      <c r="V1207" s="28"/>
    </row>
    <row r="1208" spans="11:22" x14ac:dyDescent="0.45">
      <c r="K1208" s="19"/>
      <c r="L1208" s="20"/>
      <c r="M1208" s="19"/>
      <c r="N1208" s="29"/>
      <c r="O1208" s="19"/>
      <c r="P1208" s="19"/>
      <c r="Q1208" s="19"/>
      <c r="U1208" s="20"/>
      <c r="V1208" s="28"/>
    </row>
    <row r="1209" spans="11:22" x14ac:dyDescent="0.45">
      <c r="K1209" s="19"/>
      <c r="L1209" s="20"/>
      <c r="M1209" s="19"/>
      <c r="N1209" s="29"/>
      <c r="O1209" s="19"/>
      <c r="P1209" s="19"/>
      <c r="Q1209" s="19"/>
      <c r="U1209" s="20"/>
      <c r="V1209" s="28"/>
    </row>
    <row r="1210" spans="11:22" x14ac:dyDescent="0.45">
      <c r="K1210" s="19"/>
      <c r="L1210" s="20"/>
      <c r="M1210" s="19"/>
      <c r="N1210" s="29"/>
      <c r="O1210" s="19"/>
      <c r="P1210" s="19"/>
      <c r="Q1210" s="19"/>
      <c r="U1210" s="20"/>
      <c r="V1210" s="28"/>
    </row>
    <row r="1211" spans="11:22" x14ac:dyDescent="0.45">
      <c r="K1211" s="19"/>
      <c r="L1211" s="20"/>
      <c r="M1211" s="19"/>
      <c r="N1211" s="29"/>
      <c r="O1211" s="19"/>
      <c r="P1211" s="19"/>
      <c r="Q1211" s="19"/>
      <c r="U1211" s="20"/>
      <c r="V1211" s="28"/>
    </row>
    <row r="1212" spans="11:22" x14ac:dyDescent="0.45">
      <c r="K1212" s="19"/>
      <c r="L1212" s="20"/>
      <c r="M1212" s="19"/>
      <c r="N1212" s="29"/>
      <c r="O1212" s="19"/>
      <c r="P1212" s="19"/>
      <c r="Q1212" s="19"/>
      <c r="U1212" s="20"/>
      <c r="V1212" s="28"/>
    </row>
    <row r="1213" spans="11:22" x14ac:dyDescent="0.45">
      <c r="K1213" s="19"/>
      <c r="L1213" s="20"/>
      <c r="M1213" s="19"/>
      <c r="N1213" s="29"/>
      <c r="O1213" s="19"/>
      <c r="P1213" s="19"/>
      <c r="Q1213" s="19"/>
      <c r="U1213" s="20"/>
      <c r="V1213" s="28"/>
    </row>
    <row r="1214" spans="11:22" x14ac:dyDescent="0.45">
      <c r="K1214" s="19"/>
      <c r="L1214" s="20"/>
      <c r="M1214" s="19"/>
      <c r="N1214" s="29"/>
      <c r="O1214" s="19"/>
      <c r="P1214" s="19"/>
      <c r="Q1214" s="19"/>
      <c r="U1214" s="20"/>
      <c r="V1214" s="28"/>
    </row>
    <row r="1215" spans="11:22" x14ac:dyDescent="0.45">
      <c r="K1215" s="19"/>
      <c r="L1215" s="20"/>
      <c r="M1215" s="19"/>
      <c r="N1215" s="29"/>
      <c r="O1215" s="19"/>
      <c r="P1215" s="19"/>
      <c r="Q1215" s="19"/>
      <c r="U1215" s="20"/>
      <c r="V1215" s="28"/>
    </row>
    <row r="1216" spans="11:22" x14ac:dyDescent="0.45">
      <c r="K1216" s="19"/>
      <c r="L1216" s="20"/>
      <c r="M1216" s="19"/>
      <c r="N1216" s="29"/>
      <c r="O1216" s="19"/>
      <c r="P1216" s="19"/>
      <c r="Q1216" s="19"/>
      <c r="U1216" s="20"/>
      <c r="V1216" s="28"/>
    </row>
    <row r="1217" spans="11:22" x14ac:dyDescent="0.45">
      <c r="K1217" s="19"/>
      <c r="L1217" s="20"/>
      <c r="M1217" s="19"/>
      <c r="N1217" s="29"/>
      <c r="O1217" s="19"/>
      <c r="P1217" s="19"/>
      <c r="Q1217" s="19"/>
      <c r="U1217" s="20"/>
      <c r="V1217" s="28"/>
    </row>
    <row r="1218" spans="11:22" x14ac:dyDescent="0.45">
      <c r="K1218" s="19"/>
      <c r="L1218" s="20"/>
      <c r="M1218" s="19"/>
      <c r="N1218" s="29"/>
      <c r="O1218" s="19"/>
      <c r="P1218" s="19"/>
      <c r="Q1218" s="19"/>
      <c r="U1218" s="20"/>
      <c r="V1218" s="28"/>
    </row>
    <row r="1219" spans="11:22" x14ac:dyDescent="0.45">
      <c r="K1219" s="19"/>
      <c r="L1219" s="20"/>
      <c r="M1219" s="19"/>
      <c r="N1219" s="29"/>
      <c r="O1219" s="19"/>
      <c r="P1219" s="19"/>
      <c r="Q1219" s="19"/>
      <c r="U1219" s="20"/>
      <c r="V1219" s="28"/>
    </row>
    <row r="1220" spans="11:22" x14ac:dyDescent="0.45">
      <c r="K1220" s="19"/>
      <c r="L1220" s="20"/>
      <c r="M1220" s="19"/>
      <c r="N1220" s="29"/>
      <c r="O1220" s="19"/>
      <c r="P1220" s="19"/>
      <c r="Q1220" s="19"/>
      <c r="U1220" s="20"/>
      <c r="V1220" s="28"/>
    </row>
    <row r="1221" spans="11:22" x14ac:dyDescent="0.45">
      <c r="K1221" s="19"/>
      <c r="L1221" s="20"/>
      <c r="M1221" s="19"/>
      <c r="N1221" s="29"/>
      <c r="O1221" s="19"/>
      <c r="P1221" s="19"/>
      <c r="Q1221" s="19"/>
      <c r="U1221" s="20"/>
      <c r="V1221" s="28"/>
    </row>
    <row r="1222" spans="11:22" x14ac:dyDescent="0.45">
      <c r="K1222" s="19"/>
      <c r="L1222" s="20"/>
      <c r="M1222" s="19"/>
      <c r="N1222" s="29"/>
      <c r="O1222" s="19"/>
      <c r="P1222" s="19"/>
      <c r="Q1222" s="19"/>
      <c r="U1222" s="20"/>
      <c r="V1222" s="28"/>
    </row>
    <row r="1223" spans="11:22" x14ac:dyDescent="0.45">
      <c r="K1223" s="19"/>
      <c r="L1223" s="20"/>
      <c r="M1223" s="19"/>
      <c r="N1223" s="29"/>
      <c r="O1223" s="19"/>
      <c r="P1223" s="19"/>
      <c r="Q1223" s="19"/>
      <c r="U1223" s="20"/>
      <c r="V1223" s="28"/>
    </row>
    <row r="1224" spans="11:22" x14ac:dyDescent="0.45">
      <c r="K1224" s="19"/>
      <c r="L1224" s="20"/>
      <c r="M1224" s="19"/>
      <c r="N1224" s="29"/>
      <c r="O1224" s="19"/>
      <c r="P1224" s="19"/>
      <c r="Q1224" s="19"/>
      <c r="U1224" s="20"/>
      <c r="V1224" s="28"/>
    </row>
    <row r="1225" spans="11:22" x14ac:dyDescent="0.45">
      <c r="K1225" s="19"/>
      <c r="L1225" s="20"/>
      <c r="M1225" s="19"/>
      <c r="N1225" s="29"/>
      <c r="O1225" s="19"/>
      <c r="P1225" s="19"/>
      <c r="Q1225" s="19"/>
      <c r="U1225" s="20"/>
      <c r="V1225" s="28"/>
    </row>
    <row r="1226" spans="11:22" x14ac:dyDescent="0.45">
      <c r="K1226" s="19"/>
      <c r="L1226" s="20"/>
      <c r="M1226" s="19"/>
      <c r="N1226" s="29"/>
      <c r="O1226" s="19"/>
      <c r="P1226" s="19"/>
      <c r="Q1226" s="19"/>
      <c r="U1226" s="20"/>
      <c r="V1226" s="28"/>
    </row>
    <row r="1227" spans="11:22" x14ac:dyDescent="0.45">
      <c r="K1227" s="19"/>
      <c r="L1227" s="20"/>
      <c r="M1227" s="19"/>
      <c r="N1227" s="29"/>
      <c r="O1227" s="19"/>
      <c r="P1227" s="19"/>
      <c r="Q1227" s="19"/>
      <c r="U1227" s="20"/>
      <c r="V1227" s="28"/>
    </row>
    <row r="1228" spans="11:22" x14ac:dyDescent="0.45">
      <c r="K1228" s="19"/>
      <c r="L1228" s="20"/>
      <c r="M1228" s="19"/>
      <c r="N1228" s="29"/>
      <c r="O1228" s="19"/>
      <c r="P1228" s="19"/>
      <c r="Q1228" s="19"/>
      <c r="U1228" s="20"/>
      <c r="V1228" s="28"/>
    </row>
    <row r="1229" spans="11:22" x14ac:dyDescent="0.45">
      <c r="K1229" s="19"/>
      <c r="L1229" s="20"/>
      <c r="M1229" s="19"/>
      <c r="N1229" s="29"/>
      <c r="O1229" s="19"/>
      <c r="P1229" s="19"/>
      <c r="Q1229" s="19"/>
      <c r="U1229" s="20"/>
      <c r="V1229" s="28"/>
    </row>
    <row r="1230" spans="11:22" x14ac:dyDescent="0.45">
      <c r="K1230" s="19"/>
      <c r="L1230" s="20"/>
      <c r="M1230" s="19"/>
      <c r="N1230" s="29"/>
      <c r="O1230" s="19"/>
      <c r="P1230" s="19"/>
      <c r="Q1230" s="19"/>
      <c r="U1230" s="20"/>
      <c r="V1230" s="28"/>
    </row>
    <row r="1231" spans="11:22" x14ac:dyDescent="0.45">
      <c r="K1231" s="19"/>
      <c r="L1231" s="20"/>
      <c r="M1231" s="19"/>
      <c r="N1231" s="29"/>
      <c r="O1231" s="19"/>
      <c r="P1231" s="19"/>
      <c r="Q1231" s="19"/>
      <c r="U1231" s="20"/>
      <c r="V1231" s="28"/>
    </row>
    <row r="1232" spans="11:22" x14ac:dyDescent="0.45">
      <c r="K1232" s="19"/>
      <c r="L1232" s="20"/>
      <c r="M1232" s="19"/>
      <c r="N1232" s="29"/>
      <c r="O1232" s="19"/>
      <c r="P1232" s="19"/>
      <c r="Q1232" s="19"/>
      <c r="U1232" s="20"/>
      <c r="V1232" s="28"/>
    </row>
    <row r="1233" spans="11:22" x14ac:dyDescent="0.45">
      <c r="K1233" s="19"/>
      <c r="L1233" s="20"/>
      <c r="M1233" s="19"/>
      <c r="N1233" s="29"/>
      <c r="O1233" s="19"/>
      <c r="P1233" s="19"/>
      <c r="Q1233" s="19"/>
      <c r="U1233" s="20"/>
      <c r="V1233" s="28"/>
    </row>
    <row r="1234" spans="11:22" x14ac:dyDescent="0.45">
      <c r="K1234" s="19"/>
      <c r="L1234" s="20"/>
      <c r="M1234" s="19"/>
      <c r="N1234" s="29"/>
      <c r="O1234" s="19"/>
      <c r="P1234" s="19"/>
      <c r="Q1234" s="19"/>
      <c r="U1234" s="20"/>
      <c r="V1234" s="28"/>
    </row>
    <row r="1235" spans="11:22" x14ac:dyDescent="0.45">
      <c r="K1235" s="19"/>
      <c r="L1235" s="20"/>
      <c r="M1235" s="19"/>
      <c r="N1235" s="29"/>
      <c r="O1235" s="19"/>
      <c r="P1235" s="19"/>
      <c r="Q1235" s="19"/>
      <c r="U1235" s="20"/>
      <c r="V1235" s="28"/>
    </row>
    <row r="1236" spans="11:22" x14ac:dyDescent="0.45">
      <c r="K1236" s="19"/>
      <c r="L1236" s="20"/>
      <c r="M1236" s="19"/>
      <c r="N1236" s="29"/>
      <c r="O1236" s="19"/>
      <c r="P1236" s="19"/>
      <c r="Q1236" s="19"/>
      <c r="U1236" s="20"/>
      <c r="V1236" s="28"/>
    </row>
    <row r="1237" spans="11:22" x14ac:dyDescent="0.45">
      <c r="K1237" s="19"/>
      <c r="L1237" s="20"/>
      <c r="M1237" s="19"/>
      <c r="N1237" s="29"/>
      <c r="O1237" s="19"/>
      <c r="P1237" s="19"/>
      <c r="Q1237" s="19"/>
      <c r="U1237" s="20"/>
      <c r="V1237" s="28"/>
    </row>
    <row r="1238" spans="11:22" x14ac:dyDescent="0.45">
      <c r="K1238" s="19"/>
      <c r="L1238" s="20"/>
      <c r="M1238" s="19"/>
      <c r="N1238" s="29"/>
      <c r="O1238" s="19"/>
      <c r="P1238" s="19"/>
      <c r="Q1238" s="19"/>
      <c r="U1238" s="20"/>
      <c r="V1238" s="28"/>
    </row>
    <row r="1239" spans="11:22" x14ac:dyDescent="0.45">
      <c r="K1239" s="19"/>
      <c r="L1239" s="20"/>
      <c r="M1239" s="19"/>
      <c r="N1239" s="29"/>
      <c r="O1239" s="19"/>
      <c r="P1239" s="19"/>
      <c r="Q1239" s="19"/>
      <c r="U1239" s="20"/>
      <c r="V1239" s="28"/>
    </row>
    <row r="1240" spans="11:22" x14ac:dyDescent="0.45">
      <c r="K1240" s="19"/>
      <c r="L1240" s="20"/>
      <c r="M1240" s="19"/>
      <c r="N1240" s="29"/>
      <c r="O1240" s="19"/>
      <c r="P1240" s="19"/>
      <c r="Q1240" s="19"/>
      <c r="U1240" s="20"/>
      <c r="V1240" s="28"/>
    </row>
    <row r="1241" spans="11:22" x14ac:dyDescent="0.45">
      <c r="K1241" s="19"/>
      <c r="L1241" s="20"/>
      <c r="M1241" s="19"/>
      <c r="N1241" s="29"/>
      <c r="O1241" s="19"/>
      <c r="P1241" s="19"/>
      <c r="Q1241" s="19"/>
      <c r="U1241" s="20"/>
      <c r="V1241" s="28"/>
    </row>
    <row r="1242" spans="11:22" x14ac:dyDescent="0.45">
      <c r="K1242" s="19"/>
      <c r="L1242" s="20"/>
      <c r="M1242" s="19"/>
      <c r="N1242" s="29"/>
      <c r="O1242" s="19"/>
      <c r="P1242" s="19"/>
      <c r="Q1242" s="19"/>
      <c r="U1242" s="20"/>
      <c r="V1242" s="28"/>
    </row>
    <row r="1243" spans="11:22" x14ac:dyDescent="0.45">
      <c r="K1243" s="19"/>
      <c r="L1243" s="20"/>
      <c r="M1243" s="19"/>
      <c r="N1243" s="29"/>
      <c r="O1243" s="19"/>
      <c r="P1243" s="19"/>
      <c r="Q1243" s="19"/>
      <c r="U1243" s="20"/>
      <c r="V1243" s="28"/>
    </row>
    <row r="1244" spans="11:22" x14ac:dyDescent="0.45">
      <c r="K1244" s="19"/>
      <c r="L1244" s="20"/>
      <c r="M1244" s="19"/>
      <c r="N1244" s="29"/>
      <c r="O1244" s="19"/>
      <c r="P1244" s="19"/>
      <c r="Q1244" s="19"/>
      <c r="U1244" s="20"/>
      <c r="V1244" s="28"/>
    </row>
    <row r="1245" spans="11:22" x14ac:dyDescent="0.45">
      <c r="K1245" s="19"/>
      <c r="L1245" s="20"/>
      <c r="M1245" s="19"/>
      <c r="N1245" s="29"/>
      <c r="O1245" s="19"/>
      <c r="P1245" s="19"/>
      <c r="Q1245" s="19"/>
      <c r="U1245" s="20"/>
      <c r="V1245" s="28"/>
    </row>
    <row r="1246" spans="11:22" x14ac:dyDescent="0.45">
      <c r="K1246" s="19"/>
      <c r="L1246" s="20"/>
      <c r="M1246" s="19"/>
      <c r="N1246" s="29"/>
      <c r="O1246" s="19"/>
      <c r="P1246" s="19"/>
      <c r="Q1246" s="19"/>
      <c r="U1246" s="20"/>
      <c r="V1246" s="28"/>
    </row>
    <row r="1247" spans="11:22" x14ac:dyDescent="0.45">
      <c r="K1247" s="19"/>
      <c r="L1247" s="20"/>
      <c r="M1247" s="19"/>
      <c r="N1247" s="29"/>
      <c r="O1247" s="19"/>
      <c r="P1247" s="19"/>
      <c r="Q1247" s="19"/>
      <c r="U1247" s="20"/>
      <c r="V1247" s="28"/>
    </row>
    <row r="1248" spans="11:22" x14ac:dyDescent="0.45">
      <c r="K1248" s="19"/>
      <c r="L1248" s="20"/>
      <c r="M1248" s="19"/>
      <c r="N1248" s="29"/>
      <c r="O1248" s="19"/>
      <c r="P1248" s="19"/>
      <c r="Q1248" s="19"/>
      <c r="U1248" s="20"/>
      <c r="V1248" s="28"/>
    </row>
    <row r="1249" spans="11:22" x14ac:dyDescent="0.45">
      <c r="K1249" s="19"/>
      <c r="L1249" s="20"/>
      <c r="M1249" s="19"/>
      <c r="N1249" s="29"/>
      <c r="O1249" s="19"/>
      <c r="P1249" s="19"/>
      <c r="Q1249" s="19"/>
      <c r="U1249" s="20"/>
      <c r="V1249" s="28"/>
    </row>
    <row r="1250" spans="11:22" x14ac:dyDescent="0.45">
      <c r="K1250" s="19"/>
      <c r="L1250" s="20"/>
      <c r="M1250" s="19"/>
      <c r="N1250" s="29"/>
      <c r="O1250" s="19"/>
      <c r="P1250" s="19"/>
      <c r="Q1250" s="19"/>
      <c r="U1250" s="20"/>
      <c r="V1250" s="28"/>
    </row>
    <row r="1251" spans="11:22" x14ac:dyDescent="0.45">
      <c r="K1251" s="19"/>
      <c r="L1251" s="20"/>
      <c r="M1251" s="19"/>
      <c r="N1251" s="29"/>
      <c r="O1251" s="19"/>
      <c r="P1251" s="19"/>
      <c r="Q1251" s="19"/>
      <c r="U1251" s="20"/>
      <c r="V1251" s="28"/>
    </row>
    <row r="1252" spans="11:22" x14ac:dyDescent="0.45">
      <c r="K1252" s="19"/>
      <c r="L1252" s="20"/>
      <c r="M1252" s="19"/>
      <c r="N1252" s="29"/>
      <c r="O1252" s="19"/>
      <c r="P1252" s="19"/>
      <c r="Q1252" s="19"/>
      <c r="U1252" s="20"/>
      <c r="V1252" s="28"/>
    </row>
    <row r="1253" spans="11:22" x14ac:dyDescent="0.45">
      <c r="K1253" s="19"/>
      <c r="L1253" s="20"/>
      <c r="M1253" s="19"/>
      <c r="N1253" s="29"/>
      <c r="O1253" s="19"/>
      <c r="P1253" s="19"/>
      <c r="Q1253" s="19"/>
      <c r="U1253" s="20"/>
      <c r="V1253" s="28"/>
    </row>
    <row r="1254" spans="11:22" x14ac:dyDescent="0.45">
      <c r="K1254" s="19"/>
      <c r="L1254" s="20"/>
      <c r="M1254" s="19"/>
      <c r="N1254" s="29"/>
      <c r="O1254" s="19"/>
      <c r="P1254" s="19"/>
      <c r="Q1254" s="19"/>
      <c r="U1254" s="20"/>
      <c r="V1254" s="28"/>
    </row>
    <row r="1255" spans="11:22" x14ac:dyDescent="0.45">
      <c r="K1255" s="19"/>
      <c r="L1255" s="20"/>
      <c r="M1255" s="19"/>
      <c r="N1255" s="29"/>
      <c r="O1255" s="19"/>
      <c r="P1255" s="19"/>
      <c r="Q1255" s="19"/>
      <c r="U1255" s="20"/>
      <c r="V1255" s="28"/>
    </row>
    <row r="1256" spans="11:22" x14ac:dyDescent="0.45">
      <c r="K1256" s="19"/>
      <c r="L1256" s="20"/>
      <c r="M1256" s="19"/>
      <c r="N1256" s="29"/>
      <c r="O1256" s="19"/>
      <c r="P1256" s="19"/>
      <c r="Q1256" s="19"/>
      <c r="U1256" s="20"/>
      <c r="V1256" s="28"/>
    </row>
    <row r="1257" spans="11:22" x14ac:dyDescent="0.45">
      <c r="K1257" s="19"/>
      <c r="L1257" s="20"/>
      <c r="M1257" s="19"/>
      <c r="N1257" s="29"/>
      <c r="O1257" s="19"/>
      <c r="P1257" s="19"/>
      <c r="Q1257" s="19"/>
      <c r="U1257" s="20"/>
      <c r="V1257" s="28"/>
    </row>
    <row r="1258" spans="11:22" x14ac:dyDescent="0.45">
      <c r="K1258" s="19"/>
      <c r="L1258" s="20"/>
      <c r="M1258" s="19"/>
      <c r="N1258" s="29"/>
      <c r="O1258" s="19"/>
      <c r="P1258" s="19"/>
      <c r="Q1258" s="19"/>
      <c r="U1258" s="20"/>
      <c r="V1258" s="28"/>
    </row>
    <row r="1259" spans="11:22" x14ac:dyDescent="0.45">
      <c r="K1259" s="19"/>
      <c r="L1259" s="20"/>
      <c r="M1259" s="19"/>
      <c r="N1259" s="29"/>
      <c r="O1259" s="19"/>
      <c r="P1259" s="19"/>
      <c r="Q1259" s="19"/>
      <c r="U1259" s="20"/>
      <c r="V1259" s="28"/>
    </row>
    <row r="1260" spans="11:22" x14ac:dyDescent="0.45">
      <c r="K1260" s="19"/>
      <c r="L1260" s="20"/>
      <c r="M1260" s="19"/>
      <c r="N1260" s="29"/>
      <c r="O1260" s="19"/>
      <c r="P1260" s="19"/>
      <c r="Q1260" s="19"/>
      <c r="U1260" s="20"/>
      <c r="V1260" s="28"/>
    </row>
    <row r="1261" spans="11:22" x14ac:dyDescent="0.45">
      <c r="K1261" s="19"/>
      <c r="L1261" s="20"/>
      <c r="M1261" s="19"/>
      <c r="N1261" s="29"/>
      <c r="O1261" s="19"/>
      <c r="P1261" s="19"/>
      <c r="Q1261" s="19"/>
      <c r="U1261" s="20"/>
      <c r="V1261" s="28"/>
    </row>
    <row r="1262" spans="11:22" x14ac:dyDescent="0.45">
      <c r="K1262" s="19"/>
      <c r="L1262" s="20"/>
      <c r="M1262" s="19"/>
      <c r="N1262" s="29"/>
      <c r="O1262" s="19"/>
      <c r="P1262" s="19"/>
      <c r="Q1262" s="19"/>
      <c r="U1262" s="20"/>
      <c r="V1262" s="28"/>
    </row>
    <row r="1263" spans="11:22" x14ac:dyDescent="0.45">
      <c r="K1263" s="19"/>
      <c r="L1263" s="20"/>
      <c r="M1263" s="19"/>
      <c r="N1263" s="29"/>
      <c r="O1263" s="19"/>
      <c r="P1263" s="19"/>
      <c r="Q1263" s="19"/>
      <c r="U1263" s="20"/>
      <c r="V1263" s="28"/>
    </row>
    <row r="1264" spans="11:22" x14ac:dyDescent="0.45">
      <c r="K1264" s="19"/>
      <c r="L1264" s="20"/>
      <c r="M1264" s="19"/>
      <c r="N1264" s="29"/>
      <c r="O1264" s="19"/>
      <c r="P1264" s="19"/>
      <c r="Q1264" s="19"/>
      <c r="U1264" s="20"/>
      <c r="V1264" s="28"/>
    </row>
    <row r="1265" spans="11:22" x14ac:dyDescent="0.45">
      <c r="K1265" s="19"/>
      <c r="L1265" s="20"/>
      <c r="M1265" s="19"/>
      <c r="N1265" s="29"/>
      <c r="O1265" s="19"/>
      <c r="P1265" s="19"/>
      <c r="Q1265" s="19"/>
      <c r="U1265" s="20"/>
      <c r="V1265" s="28"/>
    </row>
    <row r="1266" spans="11:22" x14ac:dyDescent="0.45">
      <c r="K1266" s="19"/>
      <c r="L1266" s="20"/>
      <c r="M1266" s="19"/>
      <c r="N1266" s="29"/>
      <c r="O1266" s="19"/>
      <c r="P1266" s="19"/>
      <c r="Q1266" s="19"/>
      <c r="U1266" s="20"/>
      <c r="V1266" s="28"/>
    </row>
    <row r="1267" spans="11:22" x14ac:dyDescent="0.45">
      <c r="K1267" s="19"/>
      <c r="L1267" s="20"/>
      <c r="M1267" s="19"/>
      <c r="N1267" s="29"/>
      <c r="O1267" s="19"/>
      <c r="P1267" s="19"/>
      <c r="Q1267" s="19"/>
      <c r="U1267" s="20"/>
      <c r="V1267" s="28"/>
    </row>
    <row r="1268" spans="11:22" x14ac:dyDescent="0.45">
      <c r="K1268" s="19"/>
      <c r="L1268" s="20"/>
      <c r="M1268" s="19"/>
      <c r="N1268" s="29"/>
      <c r="O1268" s="19"/>
      <c r="P1268" s="19"/>
      <c r="Q1268" s="19"/>
      <c r="U1268" s="20"/>
      <c r="V1268" s="28"/>
    </row>
    <row r="1269" spans="11:22" x14ac:dyDescent="0.45">
      <c r="K1269" s="19"/>
      <c r="L1269" s="20"/>
      <c r="M1269" s="19"/>
      <c r="N1269" s="29"/>
      <c r="O1269" s="19"/>
      <c r="P1269" s="19"/>
      <c r="Q1269" s="19"/>
      <c r="U1269" s="20"/>
      <c r="V1269" s="28"/>
    </row>
    <row r="1270" spans="11:22" x14ac:dyDescent="0.45">
      <c r="K1270" s="19"/>
      <c r="L1270" s="20"/>
      <c r="M1270" s="19"/>
      <c r="N1270" s="29"/>
      <c r="O1270" s="19"/>
      <c r="P1270" s="19"/>
      <c r="Q1270" s="19"/>
      <c r="U1270" s="20"/>
      <c r="V1270" s="28"/>
    </row>
    <row r="1271" spans="11:22" x14ac:dyDescent="0.45">
      <c r="K1271" s="19"/>
      <c r="L1271" s="20"/>
      <c r="M1271" s="19"/>
      <c r="N1271" s="29"/>
      <c r="O1271" s="19"/>
      <c r="P1271" s="19"/>
      <c r="Q1271" s="19"/>
      <c r="U1271" s="20"/>
      <c r="V1271" s="28"/>
    </row>
    <row r="1272" spans="11:22" x14ac:dyDescent="0.45">
      <c r="K1272" s="19"/>
      <c r="L1272" s="20"/>
      <c r="M1272" s="19"/>
      <c r="N1272" s="29"/>
      <c r="O1272" s="19"/>
      <c r="P1272" s="19"/>
      <c r="Q1272" s="19"/>
      <c r="U1272" s="20"/>
      <c r="V1272" s="28"/>
    </row>
    <row r="1273" spans="11:22" x14ac:dyDescent="0.45">
      <c r="K1273" s="19"/>
      <c r="L1273" s="20"/>
      <c r="M1273" s="19"/>
      <c r="N1273" s="29"/>
      <c r="O1273" s="19"/>
      <c r="P1273" s="19"/>
      <c r="Q1273" s="19"/>
      <c r="U1273" s="20"/>
      <c r="V1273" s="28"/>
    </row>
    <row r="1274" spans="11:22" x14ac:dyDescent="0.45">
      <c r="K1274" s="19"/>
      <c r="L1274" s="20"/>
      <c r="M1274" s="19"/>
      <c r="N1274" s="29"/>
      <c r="O1274" s="19"/>
      <c r="P1274" s="19"/>
      <c r="Q1274" s="19"/>
      <c r="U1274" s="20"/>
      <c r="V1274" s="28"/>
    </row>
    <row r="1275" spans="11:22" x14ac:dyDescent="0.45">
      <c r="K1275" s="19"/>
      <c r="L1275" s="20"/>
      <c r="M1275" s="19"/>
      <c r="N1275" s="29"/>
      <c r="O1275" s="19"/>
      <c r="P1275" s="19"/>
      <c r="Q1275" s="19"/>
      <c r="U1275" s="20"/>
      <c r="V1275" s="28"/>
    </row>
    <row r="1276" spans="11:22" x14ac:dyDescent="0.45">
      <c r="K1276" s="19"/>
      <c r="L1276" s="20"/>
      <c r="M1276" s="19"/>
      <c r="N1276" s="29"/>
      <c r="O1276" s="19"/>
      <c r="P1276" s="19"/>
      <c r="Q1276" s="19"/>
      <c r="U1276" s="20"/>
      <c r="V1276" s="28"/>
    </row>
    <row r="1277" spans="11:22" x14ac:dyDescent="0.45">
      <c r="K1277" s="19"/>
      <c r="L1277" s="20"/>
      <c r="M1277" s="19"/>
      <c r="N1277" s="29"/>
      <c r="O1277" s="19"/>
      <c r="P1277" s="19"/>
      <c r="Q1277" s="19"/>
      <c r="U1277" s="20"/>
      <c r="V1277" s="28"/>
    </row>
    <row r="1278" spans="11:22" x14ac:dyDescent="0.45">
      <c r="K1278" s="19"/>
      <c r="L1278" s="20"/>
      <c r="M1278" s="19"/>
      <c r="N1278" s="29"/>
      <c r="O1278" s="19"/>
      <c r="P1278" s="19"/>
      <c r="Q1278" s="19"/>
      <c r="U1278" s="20"/>
      <c r="V1278" s="28"/>
    </row>
    <row r="1279" spans="11:22" x14ac:dyDescent="0.45">
      <c r="K1279" s="19"/>
      <c r="L1279" s="20"/>
      <c r="M1279" s="19"/>
      <c r="N1279" s="29"/>
      <c r="O1279" s="19"/>
      <c r="P1279" s="19"/>
      <c r="Q1279" s="19"/>
      <c r="U1279" s="20"/>
      <c r="V1279" s="28"/>
    </row>
    <row r="1280" spans="11:22" x14ac:dyDescent="0.45">
      <c r="K1280" s="19"/>
      <c r="L1280" s="20"/>
      <c r="M1280" s="19"/>
      <c r="N1280" s="29"/>
      <c r="O1280" s="19"/>
      <c r="P1280" s="19"/>
      <c r="Q1280" s="19"/>
      <c r="U1280" s="20"/>
      <c r="V1280" s="28"/>
    </row>
    <row r="1281" spans="11:22" x14ac:dyDescent="0.45">
      <c r="K1281" s="19"/>
      <c r="L1281" s="20"/>
      <c r="M1281" s="19"/>
      <c r="N1281" s="29"/>
      <c r="O1281" s="19"/>
      <c r="P1281" s="19"/>
      <c r="Q1281" s="19"/>
      <c r="U1281" s="20"/>
      <c r="V1281" s="28"/>
    </row>
    <row r="1282" spans="11:22" x14ac:dyDescent="0.45">
      <c r="K1282" s="19"/>
      <c r="L1282" s="20"/>
      <c r="M1282" s="19"/>
      <c r="N1282" s="29"/>
      <c r="O1282" s="19"/>
      <c r="P1282" s="19"/>
      <c r="Q1282" s="19"/>
      <c r="U1282" s="20"/>
      <c r="V1282" s="28"/>
    </row>
    <row r="1283" spans="11:22" x14ac:dyDescent="0.45">
      <c r="K1283" s="19"/>
      <c r="L1283" s="20"/>
      <c r="M1283" s="19"/>
      <c r="N1283" s="29"/>
      <c r="O1283" s="19"/>
      <c r="P1283" s="19"/>
      <c r="Q1283" s="19"/>
      <c r="U1283" s="20"/>
      <c r="V1283" s="28"/>
    </row>
    <row r="1284" spans="11:22" x14ac:dyDescent="0.45">
      <c r="K1284" s="19"/>
      <c r="L1284" s="20"/>
      <c r="M1284" s="19"/>
      <c r="N1284" s="29"/>
      <c r="O1284" s="19"/>
      <c r="P1284" s="19"/>
      <c r="Q1284" s="19"/>
      <c r="U1284" s="20"/>
      <c r="V1284" s="28"/>
    </row>
    <row r="1285" spans="11:22" x14ac:dyDescent="0.45">
      <c r="K1285" s="19"/>
      <c r="L1285" s="20"/>
      <c r="M1285" s="19"/>
      <c r="N1285" s="29"/>
      <c r="O1285" s="19"/>
      <c r="P1285" s="19"/>
      <c r="Q1285" s="19"/>
      <c r="U1285" s="20"/>
      <c r="V1285" s="28"/>
    </row>
    <row r="1286" spans="11:22" x14ac:dyDescent="0.45">
      <c r="K1286" s="19"/>
      <c r="L1286" s="20"/>
      <c r="M1286" s="19"/>
      <c r="N1286" s="29"/>
      <c r="O1286" s="19"/>
      <c r="P1286" s="19"/>
      <c r="Q1286" s="19"/>
      <c r="U1286" s="20"/>
      <c r="V1286" s="28"/>
    </row>
    <row r="1287" spans="11:22" x14ac:dyDescent="0.45">
      <c r="K1287" s="19"/>
      <c r="L1287" s="20"/>
      <c r="M1287" s="19"/>
      <c r="N1287" s="29"/>
      <c r="O1287" s="19"/>
      <c r="P1287" s="19"/>
      <c r="Q1287" s="19"/>
      <c r="U1287" s="20"/>
      <c r="V1287" s="28"/>
    </row>
    <row r="1288" spans="11:22" x14ac:dyDescent="0.45">
      <c r="K1288" s="19"/>
      <c r="L1288" s="20"/>
      <c r="M1288" s="19"/>
      <c r="N1288" s="29"/>
      <c r="O1288" s="19"/>
      <c r="P1288" s="19"/>
      <c r="Q1288" s="19"/>
      <c r="U1288" s="20"/>
      <c r="V1288" s="28"/>
    </row>
    <row r="1289" spans="11:22" x14ac:dyDescent="0.45">
      <c r="K1289" s="19"/>
      <c r="L1289" s="20"/>
      <c r="M1289" s="19"/>
      <c r="N1289" s="29"/>
      <c r="O1289" s="19"/>
      <c r="P1289" s="19"/>
      <c r="Q1289" s="19"/>
      <c r="U1289" s="20"/>
      <c r="V1289" s="28"/>
    </row>
    <row r="1290" spans="11:22" x14ac:dyDescent="0.45">
      <c r="K1290" s="19"/>
      <c r="L1290" s="20"/>
      <c r="M1290" s="19"/>
      <c r="N1290" s="29"/>
      <c r="O1290" s="19"/>
      <c r="P1290" s="19"/>
      <c r="Q1290" s="19"/>
      <c r="U1290" s="20"/>
      <c r="V1290" s="28"/>
    </row>
    <row r="1291" spans="11:22" x14ac:dyDescent="0.45">
      <c r="K1291" s="19"/>
      <c r="L1291" s="20"/>
      <c r="M1291" s="19"/>
      <c r="N1291" s="29"/>
      <c r="O1291" s="19"/>
      <c r="P1291" s="19"/>
      <c r="Q1291" s="19"/>
      <c r="U1291" s="20"/>
      <c r="V1291" s="28"/>
    </row>
    <row r="1292" spans="11:22" x14ac:dyDescent="0.45">
      <c r="K1292" s="19"/>
      <c r="L1292" s="20"/>
      <c r="M1292" s="19"/>
      <c r="N1292" s="29"/>
      <c r="O1292" s="19"/>
      <c r="P1292" s="19"/>
      <c r="Q1292" s="19"/>
      <c r="U1292" s="20"/>
      <c r="V1292" s="28"/>
    </row>
    <row r="1293" spans="11:22" x14ac:dyDescent="0.45">
      <c r="K1293" s="19"/>
      <c r="L1293" s="20"/>
      <c r="M1293" s="19"/>
      <c r="N1293" s="29"/>
      <c r="O1293" s="19"/>
      <c r="P1293" s="19"/>
      <c r="Q1293" s="19"/>
      <c r="U1293" s="20"/>
      <c r="V1293" s="28"/>
    </row>
    <row r="1294" spans="11:22" x14ac:dyDescent="0.45">
      <c r="K1294" s="19"/>
      <c r="L1294" s="20"/>
      <c r="M1294" s="19"/>
      <c r="N1294" s="29"/>
      <c r="O1294" s="19"/>
      <c r="P1294" s="19"/>
      <c r="Q1294" s="19"/>
      <c r="U1294" s="20"/>
      <c r="V1294" s="28"/>
    </row>
    <row r="1295" spans="11:22" x14ac:dyDescent="0.45">
      <c r="K1295" s="19"/>
      <c r="L1295" s="20"/>
      <c r="M1295" s="19"/>
      <c r="N1295" s="29"/>
      <c r="O1295" s="19"/>
      <c r="P1295" s="19"/>
      <c r="Q1295" s="19"/>
      <c r="U1295" s="20"/>
      <c r="V1295" s="28"/>
    </row>
    <row r="1296" spans="11:22" x14ac:dyDescent="0.45">
      <c r="K1296" s="19"/>
      <c r="L1296" s="20"/>
      <c r="M1296" s="19"/>
      <c r="N1296" s="29"/>
      <c r="O1296" s="19"/>
      <c r="P1296" s="19"/>
      <c r="Q1296" s="19"/>
      <c r="U1296" s="20"/>
      <c r="V1296" s="28"/>
    </row>
    <row r="1297" spans="11:22" x14ac:dyDescent="0.45">
      <c r="K1297" s="19"/>
      <c r="L1297" s="20"/>
      <c r="M1297" s="19"/>
      <c r="N1297" s="29"/>
      <c r="O1297" s="19"/>
      <c r="P1297" s="19"/>
      <c r="Q1297" s="19"/>
      <c r="U1297" s="20"/>
      <c r="V1297" s="28"/>
    </row>
    <row r="1298" spans="11:22" x14ac:dyDescent="0.45">
      <c r="K1298" s="19"/>
      <c r="L1298" s="20"/>
      <c r="M1298" s="19"/>
      <c r="N1298" s="29"/>
      <c r="O1298" s="19"/>
      <c r="P1298" s="19"/>
      <c r="Q1298" s="19"/>
      <c r="U1298" s="20"/>
      <c r="V1298" s="28"/>
    </row>
    <row r="1299" spans="11:22" x14ac:dyDescent="0.45">
      <c r="K1299" s="19"/>
      <c r="L1299" s="20"/>
      <c r="M1299" s="19"/>
      <c r="N1299" s="29"/>
      <c r="O1299" s="19"/>
      <c r="P1299" s="19"/>
      <c r="Q1299" s="19"/>
      <c r="U1299" s="20"/>
      <c r="V1299" s="28"/>
    </row>
    <row r="1300" spans="11:22" x14ac:dyDescent="0.45">
      <c r="K1300" s="19"/>
      <c r="L1300" s="20"/>
      <c r="M1300" s="19"/>
      <c r="N1300" s="29"/>
      <c r="O1300" s="19"/>
      <c r="P1300" s="19"/>
      <c r="Q1300" s="19"/>
      <c r="U1300" s="20"/>
      <c r="V1300" s="28"/>
    </row>
    <row r="1301" spans="11:22" x14ac:dyDescent="0.45">
      <c r="K1301" s="19"/>
      <c r="L1301" s="20"/>
      <c r="M1301" s="19"/>
      <c r="N1301" s="29"/>
      <c r="O1301" s="19"/>
      <c r="P1301" s="19"/>
      <c r="Q1301" s="19"/>
      <c r="U1301" s="20"/>
      <c r="V1301" s="28"/>
    </row>
    <row r="1302" spans="11:22" x14ac:dyDescent="0.45">
      <c r="K1302" s="19"/>
      <c r="L1302" s="20"/>
      <c r="M1302" s="19"/>
      <c r="N1302" s="29"/>
      <c r="O1302" s="19"/>
      <c r="P1302" s="19"/>
      <c r="Q1302" s="19"/>
      <c r="U1302" s="20"/>
      <c r="V1302" s="28"/>
    </row>
    <row r="1303" spans="11:22" x14ac:dyDescent="0.45">
      <c r="K1303" s="19"/>
      <c r="L1303" s="20"/>
      <c r="M1303" s="19"/>
      <c r="N1303" s="29"/>
      <c r="O1303" s="19"/>
      <c r="P1303" s="19"/>
      <c r="Q1303" s="19"/>
      <c r="U1303" s="20"/>
      <c r="V1303" s="28"/>
    </row>
    <row r="1304" spans="11:22" x14ac:dyDescent="0.45">
      <c r="K1304" s="19"/>
      <c r="L1304" s="20"/>
      <c r="M1304" s="19"/>
      <c r="N1304" s="29"/>
      <c r="O1304" s="19"/>
      <c r="P1304" s="19"/>
      <c r="Q1304" s="19"/>
      <c r="U1304" s="20"/>
      <c r="V1304" s="28"/>
    </row>
    <row r="1305" spans="11:22" x14ac:dyDescent="0.45">
      <c r="K1305" s="19"/>
      <c r="L1305" s="20"/>
      <c r="M1305" s="19"/>
      <c r="N1305" s="29"/>
      <c r="O1305" s="19"/>
      <c r="P1305" s="19"/>
      <c r="Q1305" s="19"/>
      <c r="U1305" s="20"/>
      <c r="V1305" s="28"/>
    </row>
    <row r="1306" spans="11:22" x14ac:dyDescent="0.45">
      <c r="K1306" s="19"/>
      <c r="L1306" s="20"/>
      <c r="M1306" s="19"/>
      <c r="N1306" s="29"/>
      <c r="O1306" s="19"/>
      <c r="P1306" s="19"/>
      <c r="Q1306" s="19"/>
      <c r="U1306" s="20"/>
      <c r="V1306" s="28"/>
    </row>
    <row r="1307" spans="11:22" x14ac:dyDescent="0.45">
      <c r="K1307" s="19"/>
      <c r="L1307" s="20"/>
      <c r="M1307" s="19"/>
      <c r="N1307" s="29"/>
      <c r="O1307" s="19"/>
      <c r="P1307" s="19"/>
      <c r="Q1307" s="19"/>
      <c r="U1307" s="20"/>
      <c r="V1307" s="28"/>
    </row>
    <row r="1308" spans="11:22" x14ac:dyDescent="0.45">
      <c r="K1308" s="19"/>
      <c r="L1308" s="20"/>
      <c r="M1308" s="19"/>
      <c r="N1308" s="29"/>
      <c r="O1308" s="19"/>
      <c r="P1308" s="19"/>
      <c r="Q1308" s="19"/>
      <c r="U1308" s="20"/>
      <c r="V1308" s="28"/>
    </row>
    <row r="1309" spans="11:22" x14ac:dyDescent="0.45">
      <c r="K1309" s="19"/>
      <c r="L1309" s="20"/>
      <c r="M1309" s="19"/>
      <c r="N1309" s="29"/>
      <c r="O1309" s="19"/>
      <c r="P1309" s="19"/>
      <c r="Q1309" s="19"/>
      <c r="U1309" s="20"/>
      <c r="V1309" s="28"/>
    </row>
    <row r="1310" spans="11:22" x14ac:dyDescent="0.45">
      <c r="K1310" s="19"/>
      <c r="L1310" s="20"/>
      <c r="M1310" s="19"/>
      <c r="N1310" s="29"/>
      <c r="O1310" s="19"/>
      <c r="P1310" s="19"/>
      <c r="Q1310" s="19"/>
      <c r="U1310" s="20"/>
      <c r="V1310" s="28"/>
    </row>
    <row r="1311" spans="11:22" x14ac:dyDescent="0.45">
      <c r="K1311" s="19"/>
      <c r="L1311" s="20"/>
      <c r="M1311" s="19"/>
      <c r="N1311" s="29"/>
      <c r="O1311" s="19"/>
      <c r="P1311" s="19"/>
      <c r="Q1311" s="19"/>
      <c r="U1311" s="20"/>
      <c r="V1311" s="28"/>
    </row>
    <row r="1312" spans="11:22" x14ac:dyDescent="0.45">
      <c r="K1312" s="19"/>
      <c r="L1312" s="20"/>
      <c r="M1312" s="19"/>
      <c r="N1312" s="29"/>
      <c r="O1312" s="19"/>
      <c r="P1312" s="19"/>
      <c r="Q1312" s="19"/>
      <c r="U1312" s="20"/>
      <c r="V1312" s="28"/>
    </row>
    <row r="1313" spans="11:22" x14ac:dyDescent="0.45">
      <c r="K1313" s="19"/>
      <c r="L1313" s="20"/>
      <c r="M1313" s="19"/>
      <c r="N1313" s="29"/>
      <c r="O1313" s="19"/>
      <c r="P1313" s="19"/>
      <c r="Q1313" s="19"/>
      <c r="U1313" s="20"/>
      <c r="V1313" s="28"/>
    </row>
    <row r="1314" spans="11:22" x14ac:dyDescent="0.45">
      <c r="K1314" s="19"/>
      <c r="L1314" s="20"/>
      <c r="M1314" s="19"/>
      <c r="N1314" s="29"/>
      <c r="O1314" s="19"/>
      <c r="P1314" s="19"/>
      <c r="Q1314" s="19"/>
      <c r="U1314" s="20"/>
      <c r="V1314" s="28"/>
    </row>
    <row r="1315" spans="11:22" x14ac:dyDescent="0.45">
      <c r="K1315" s="19"/>
      <c r="L1315" s="20"/>
      <c r="M1315" s="19"/>
      <c r="N1315" s="29"/>
      <c r="O1315" s="19"/>
      <c r="P1315" s="19"/>
      <c r="Q1315" s="19"/>
      <c r="U1315" s="20"/>
      <c r="V1315" s="28"/>
    </row>
    <row r="1316" spans="11:22" x14ac:dyDescent="0.45">
      <c r="K1316" s="19"/>
      <c r="L1316" s="20"/>
      <c r="M1316" s="19"/>
      <c r="N1316" s="29"/>
      <c r="O1316" s="19"/>
      <c r="P1316" s="19"/>
      <c r="Q1316" s="19"/>
      <c r="U1316" s="20"/>
      <c r="V1316" s="28"/>
    </row>
    <row r="1317" spans="11:22" x14ac:dyDescent="0.45">
      <c r="K1317" s="19"/>
      <c r="L1317" s="20"/>
      <c r="M1317" s="19"/>
      <c r="N1317" s="29"/>
      <c r="O1317" s="19"/>
      <c r="P1317" s="19"/>
      <c r="Q1317" s="19"/>
      <c r="U1317" s="20"/>
      <c r="V1317" s="28"/>
    </row>
    <row r="1318" spans="11:22" x14ac:dyDescent="0.45">
      <c r="K1318" s="19"/>
      <c r="L1318" s="20"/>
      <c r="M1318" s="19"/>
      <c r="N1318" s="29"/>
      <c r="O1318" s="19"/>
      <c r="P1318" s="19"/>
      <c r="Q1318" s="19"/>
      <c r="U1318" s="20"/>
      <c r="V1318" s="28"/>
    </row>
    <row r="1319" spans="11:22" x14ac:dyDescent="0.45">
      <c r="K1319" s="19"/>
      <c r="L1319" s="20"/>
      <c r="M1319" s="19"/>
      <c r="N1319" s="29"/>
      <c r="O1319" s="19"/>
      <c r="P1319" s="19"/>
      <c r="Q1319" s="19"/>
      <c r="U1319" s="20"/>
      <c r="V1319" s="28"/>
    </row>
    <row r="1320" spans="11:22" x14ac:dyDescent="0.45">
      <c r="K1320" s="19"/>
      <c r="L1320" s="20"/>
      <c r="M1320" s="19"/>
      <c r="N1320" s="29"/>
      <c r="O1320" s="19"/>
      <c r="P1320" s="19"/>
      <c r="Q1320" s="19"/>
      <c r="U1320" s="20"/>
      <c r="V1320" s="28"/>
    </row>
    <row r="1321" spans="11:22" x14ac:dyDescent="0.45">
      <c r="K1321" s="19"/>
      <c r="L1321" s="20"/>
      <c r="M1321" s="19"/>
      <c r="N1321" s="29"/>
      <c r="O1321" s="19"/>
      <c r="P1321" s="19"/>
      <c r="Q1321" s="19"/>
      <c r="U1321" s="20"/>
      <c r="V1321" s="28"/>
    </row>
    <row r="1322" spans="11:22" x14ac:dyDescent="0.45">
      <c r="K1322" s="19"/>
      <c r="L1322" s="20"/>
      <c r="M1322" s="19"/>
      <c r="N1322" s="29"/>
      <c r="O1322" s="19"/>
      <c r="P1322" s="19"/>
      <c r="Q1322" s="19"/>
      <c r="U1322" s="20"/>
      <c r="V1322" s="28"/>
    </row>
    <row r="1323" spans="11:22" x14ac:dyDescent="0.45">
      <c r="K1323" s="19"/>
      <c r="L1323" s="20"/>
      <c r="M1323" s="19"/>
      <c r="N1323" s="29"/>
      <c r="O1323" s="19"/>
      <c r="P1323" s="19"/>
      <c r="Q1323" s="19"/>
      <c r="U1323" s="20"/>
      <c r="V1323" s="28"/>
    </row>
    <row r="1324" spans="11:22" x14ac:dyDescent="0.45">
      <c r="K1324" s="19"/>
      <c r="L1324" s="20"/>
      <c r="M1324" s="19"/>
      <c r="N1324" s="29"/>
      <c r="O1324" s="19"/>
      <c r="P1324" s="19"/>
      <c r="Q1324" s="19"/>
      <c r="U1324" s="20"/>
      <c r="V1324" s="28"/>
    </row>
    <row r="1325" spans="11:22" x14ac:dyDescent="0.45">
      <c r="K1325" s="19"/>
      <c r="L1325" s="20"/>
      <c r="M1325" s="19"/>
      <c r="N1325" s="29"/>
      <c r="O1325" s="19"/>
      <c r="P1325" s="19"/>
      <c r="Q1325" s="19"/>
      <c r="U1325" s="20"/>
      <c r="V1325" s="28"/>
    </row>
    <row r="1326" spans="11:22" x14ac:dyDescent="0.45">
      <c r="K1326" s="19"/>
      <c r="L1326" s="20"/>
      <c r="M1326" s="19"/>
      <c r="N1326" s="29"/>
      <c r="O1326" s="19"/>
      <c r="P1326" s="19"/>
      <c r="Q1326" s="19"/>
      <c r="U1326" s="20"/>
      <c r="V1326" s="28"/>
    </row>
    <row r="1327" spans="11:22" x14ac:dyDescent="0.45">
      <c r="K1327" s="19"/>
      <c r="L1327" s="20"/>
      <c r="M1327" s="19"/>
      <c r="N1327" s="29"/>
      <c r="O1327" s="19"/>
      <c r="P1327" s="19"/>
      <c r="Q1327" s="19"/>
      <c r="U1327" s="20"/>
      <c r="V1327" s="28"/>
    </row>
    <row r="1328" spans="11:22" x14ac:dyDescent="0.45">
      <c r="K1328" s="19"/>
      <c r="L1328" s="20"/>
      <c r="M1328" s="19"/>
      <c r="N1328" s="29"/>
      <c r="O1328" s="19"/>
      <c r="P1328" s="19"/>
      <c r="Q1328" s="19"/>
      <c r="U1328" s="20"/>
      <c r="V1328" s="28"/>
    </row>
    <row r="1329" spans="11:22" x14ac:dyDescent="0.45">
      <c r="K1329" s="19"/>
      <c r="L1329" s="20"/>
      <c r="M1329" s="19"/>
      <c r="N1329" s="29"/>
      <c r="O1329" s="19"/>
      <c r="P1329" s="19"/>
      <c r="Q1329" s="19"/>
      <c r="U1329" s="20"/>
      <c r="V1329" s="28"/>
    </row>
    <row r="1330" spans="11:22" x14ac:dyDescent="0.45">
      <c r="K1330" s="19"/>
      <c r="L1330" s="20"/>
      <c r="M1330" s="19"/>
      <c r="N1330" s="29"/>
      <c r="O1330" s="19"/>
      <c r="P1330" s="19"/>
      <c r="Q1330" s="19"/>
      <c r="U1330" s="20"/>
      <c r="V1330" s="28"/>
    </row>
    <row r="1331" spans="11:22" x14ac:dyDescent="0.45">
      <c r="K1331" s="19"/>
      <c r="L1331" s="20"/>
      <c r="M1331" s="19"/>
      <c r="N1331" s="29"/>
      <c r="O1331" s="19"/>
      <c r="P1331" s="19"/>
      <c r="Q1331" s="19"/>
      <c r="U1331" s="20"/>
      <c r="V1331" s="28"/>
    </row>
    <row r="1332" spans="11:22" x14ac:dyDescent="0.45">
      <c r="K1332" s="19"/>
      <c r="L1332" s="20"/>
      <c r="M1332" s="19"/>
      <c r="N1332" s="29"/>
      <c r="O1332" s="19"/>
      <c r="P1332" s="19"/>
      <c r="Q1332" s="19"/>
      <c r="U1332" s="20"/>
      <c r="V1332" s="28"/>
    </row>
    <row r="1333" spans="11:22" x14ac:dyDescent="0.45">
      <c r="K1333" s="19"/>
      <c r="L1333" s="20"/>
      <c r="M1333" s="19"/>
      <c r="N1333" s="29"/>
      <c r="O1333" s="19"/>
      <c r="P1333" s="19"/>
      <c r="Q1333" s="19"/>
      <c r="U1333" s="20"/>
      <c r="V1333" s="28"/>
    </row>
    <row r="1334" spans="11:22" x14ac:dyDescent="0.45">
      <c r="K1334" s="19"/>
      <c r="L1334" s="20"/>
      <c r="M1334" s="19"/>
      <c r="N1334" s="29"/>
      <c r="O1334" s="19"/>
      <c r="P1334" s="19"/>
      <c r="Q1334" s="19"/>
      <c r="U1334" s="20"/>
      <c r="V1334" s="28"/>
    </row>
    <row r="1335" spans="11:22" x14ac:dyDescent="0.45">
      <c r="K1335" s="19"/>
      <c r="L1335" s="20"/>
      <c r="M1335" s="19"/>
      <c r="N1335" s="29"/>
      <c r="O1335" s="19"/>
      <c r="P1335" s="19"/>
      <c r="Q1335" s="19"/>
      <c r="U1335" s="20"/>
      <c r="V1335" s="28"/>
    </row>
    <row r="1336" spans="11:22" x14ac:dyDescent="0.45">
      <c r="K1336" s="19"/>
      <c r="L1336" s="20"/>
      <c r="M1336" s="19"/>
      <c r="N1336" s="29"/>
      <c r="O1336" s="19"/>
      <c r="P1336" s="19"/>
      <c r="Q1336" s="19"/>
      <c r="U1336" s="20"/>
      <c r="V1336" s="28"/>
    </row>
    <row r="1337" spans="11:22" x14ac:dyDescent="0.45">
      <c r="K1337" s="19"/>
      <c r="L1337" s="20"/>
      <c r="M1337" s="19"/>
      <c r="N1337" s="29"/>
      <c r="O1337" s="19"/>
      <c r="P1337" s="19"/>
      <c r="Q1337" s="19"/>
      <c r="U1337" s="20"/>
      <c r="V1337" s="28"/>
    </row>
    <row r="1338" spans="11:22" x14ac:dyDescent="0.45">
      <c r="K1338" s="19"/>
      <c r="L1338" s="20"/>
      <c r="M1338" s="19"/>
      <c r="N1338" s="29"/>
      <c r="O1338" s="19"/>
      <c r="P1338" s="19"/>
      <c r="Q1338" s="19"/>
      <c r="U1338" s="20"/>
      <c r="V1338" s="28"/>
    </row>
    <row r="1339" spans="11:22" x14ac:dyDescent="0.45">
      <c r="K1339" s="19"/>
      <c r="L1339" s="20"/>
      <c r="M1339" s="19"/>
      <c r="N1339" s="29"/>
      <c r="O1339" s="19"/>
      <c r="P1339" s="19"/>
      <c r="Q1339" s="19"/>
      <c r="U1339" s="20"/>
      <c r="V1339" s="28"/>
    </row>
    <row r="1340" spans="11:22" x14ac:dyDescent="0.45">
      <c r="K1340" s="19"/>
      <c r="L1340" s="20"/>
      <c r="M1340" s="19"/>
      <c r="N1340" s="29"/>
      <c r="O1340" s="19"/>
      <c r="P1340" s="19"/>
      <c r="Q1340" s="19"/>
      <c r="U1340" s="20"/>
      <c r="V1340" s="28"/>
    </row>
    <row r="1341" spans="11:22" x14ac:dyDescent="0.45">
      <c r="K1341" s="19"/>
      <c r="L1341" s="20"/>
      <c r="M1341" s="19"/>
      <c r="N1341" s="29"/>
      <c r="O1341" s="19"/>
      <c r="P1341" s="19"/>
      <c r="Q1341" s="19"/>
      <c r="U1341" s="20"/>
      <c r="V1341" s="28"/>
    </row>
    <row r="1342" spans="11:22" x14ac:dyDescent="0.45">
      <c r="K1342" s="19"/>
      <c r="L1342" s="20"/>
      <c r="M1342" s="19"/>
      <c r="N1342" s="29"/>
      <c r="O1342" s="19"/>
      <c r="P1342" s="19"/>
      <c r="Q1342" s="19"/>
      <c r="U1342" s="20"/>
      <c r="V1342" s="28"/>
    </row>
    <row r="1343" spans="11:22" x14ac:dyDescent="0.45">
      <c r="K1343" s="19"/>
      <c r="L1343" s="20"/>
      <c r="M1343" s="19"/>
      <c r="N1343" s="29"/>
      <c r="O1343" s="19"/>
      <c r="P1343" s="19"/>
      <c r="Q1343" s="19"/>
      <c r="U1343" s="20"/>
      <c r="V1343" s="28"/>
    </row>
    <row r="1344" spans="11:22" x14ac:dyDescent="0.45">
      <c r="K1344" s="19"/>
      <c r="L1344" s="20"/>
      <c r="M1344" s="19"/>
      <c r="N1344" s="29"/>
      <c r="O1344" s="19"/>
      <c r="P1344" s="19"/>
      <c r="Q1344" s="19"/>
      <c r="U1344" s="20"/>
      <c r="V1344" s="28"/>
    </row>
    <row r="1345" spans="11:22" x14ac:dyDescent="0.45">
      <c r="K1345" s="19"/>
      <c r="L1345" s="20"/>
      <c r="M1345" s="19"/>
      <c r="N1345" s="29"/>
      <c r="O1345" s="19"/>
      <c r="P1345" s="19"/>
      <c r="Q1345" s="19"/>
      <c r="U1345" s="20"/>
      <c r="V1345" s="28"/>
    </row>
    <row r="1346" spans="11:22" x14ac:dyDescent="0.45">
      <c r="K1346" s="19"/>
      <c r="L1346" s="20"/>
      <c r="M1346" s="19"/>
      <c r="N1346" s="29"/>
      <c r="O1346" s="19"/>
      <c r="P1346" s="19"/>
      <c r="Q1346" s="19"/>
      <c r="U1346" s="20"/>
      <c r="V1346" s="28"/>
    </row>
    <row r="1347" spans="11:22" x14ac:dyDescent="0.45">
      <c r="K1347" s="19"/>
      <c r="L1347" s="20"/>
      <c r="M1347" s="19"/>
      <c r="N1347" s="29"/>
      <c r="O1347" s="19"/>
      <c r="P1347" s="19"/>
      <c r="Q1347" s="19"/>
      <c r="U1347" s="20"/>
      <c r="V1347" s="28"/>
    </row>
    <row r="1348" spans="11:22" x14ac:dyDescent="0.45">
      <c r="K1348" s="19"/>
      <c r="L1348" s="20"/>
      <c r="M1348" s="19"/>
      <c r="N1348" s="29"/>
      <c r="O1348" s="19"/>
      <c r="P1348" s="19"/>
      <c r="Q1348" s="19"/>
      <c r="U1348" s="20"/>
      <c r="V1348" s="28"/>
    </row>
    <row r="1349" spans="11:22" x14ac:dyDescent="0.45">
      <c r="K1349" s="19"/>
      <c r="L1349" s="20"/>
      <c r="M1349" s="19"/>
      <c r="N1349" s="29"/>
      <c r="O1349" s="19"/>
      <c r="P1349" s="19"/>
      <c r="Q1349" s="19"/>
      <c r="U1349" s="20"/>
      <c r="V1349" s="28"/>
    </row>
    <row r="1350" spans="11:22" x14ac:dyDescent="0.45">
      <c r="K1350" s="19"/>
      <c r="L1350" s="20"/>
      <c r="M1350" s="19"/>
      <c r="N1350" s="29"/>
      <c r="O1350" s="19"/>
      <c r="P1350" s="19"/>
      <c r="Q1350" s="19"/>
      <c r="U1350" s="20"/>
      <c r="V1350" s="28"/>
    </row>
    <row r="1351" spans="11:22" x14ac:dyDescent="0.45">
      <c r="K1351" s="19"/>
      <c r="L1351" s="20"/>
      <c r="M1351" s="19"/>
      <c r="N1351" s="29"/>
      <c r="O1351" s="19"/>
      <c r="P1351" s="19"/>
      <c r="Q1351" s="19"/>
      <c r="U1351" s="20"/>
      <c r="V1351" s="28"/>
    </row>
    <row r="1352" spans="11:22" x14ac:dyDescent="0.45">
      <c r="K1352" s="19"/>
      <c r="L1352" s="20"/>
      <c r="M1352" s="19"/>
      <c r="N1352" s="29"/>
      <c r="O1352" s="19"/>
      <c r="P1352" s="19"/>
      <c r="Q1352" s="19"/>
      <c r="U1352" s="20"/>
      <c r="V1352" s="28"/>
    </row>
    <row r="1353" spans="11:22" x14ac:dyDescent="0.45">
      <c r="K1353" s="19"/>
      <c r="L1353" s="20"/>
      <c r="M1353" s="19"/>
      <c r="N1353" s="29"/>
      <c r="O1353" s="19"/>
      <c r="P1353" s="19"/>
      <c r="Q1353" s="19"/>
      <c r="U1353" s="20"/>
      <c r="V1353" s="28"/>
    </row>
    <row r="1354" spans="11:22" x14ac:dyDescent="0.45">
      <c r="K1354" s="19"/>
      <c r="L1354" s="20"/>
      <c r="M1354" s="19"/>
      <c r="N1354" s="29"/>
      <c r="O1354" s="19"/>
      <c r="P1354" s="19"/>
      <c r="Q1354" s="19"/>
      <c r="U1354" s="20"/>
      <c r="V1354" s="28"/>
    </row>
    <row r="1355" spans="11:22" x14ac:dyDescent="0.45">
      <c r="K1355" s="19"/>
      <c r="L1355" s="20"/>
      <c r="M1355" s="19"/>
      <c r="N1355" s="29"/>
      <c r="O1355" s="19"/>
      <c r="P1355" s="19"/>
      <c r="Q1355" s="19"/>
      <c r="U1355" s="20"/>
      <c r="V1355" s="28"/>
    </row>
    <row r="1356" spans="11:22" x14ac:dyDescent="0.45">
      <c r="K1356" s="19"/>
      <c r="L1356" s="20"/>
      <c r="M1356" s="19"/>
      <c r="N1356" s="29"/>
      <c r="O1356" s="19"/>
      <c r="P1356" s="19"/>
      <c r="Q1356" s="19"/>
      <c r="U1356" s="20"/>
      <c r="V1356" s="28"/>
    </row>
    <row r="1357" spans="11:22" x14ac:dyDescent="0.45">
      <c r="K1357" s="19"/>
      <c r="L1357" s="20"/>
      <c r="M1357" s="19"/>
      <c r="N1357" s="29"/>
      <c r="O1357" s="19"/>
      <c r="P1357" s="19"/>
      <c r="Q1357" s="19"/>
      <c r="U1357" s="20"/>
      <c r="V1357" s="28"/>
    </row>
    <row r="1358" spans="11:22" x14ac:dyDescent="0.45">
      <c r="K1358" s="19"/>
      <c r="L1358" s="20"/>
      <c r="M1358" s="19"/>
      <c r="N1358" s="29"/>
      <c r="O1358" s="19"/>
      <c r="P1358" s="19"/>
      <c r="Q1358" s="19"/>
      <c r="U1358" s="20"/>
      <c r="V1358" s="28"/>
    </row>
    <row r="1359" spans="11:22" x14ac:dyDescent="0.45">
      <c r="K1359" s="19"/>
      <c r="L1359" s="20"/>
      <c r="M1359" s="19"/>
      <c r="N1359" s="29"/>
      <c r="O1359" s="19"/>
      <c r="P1359" s="19"/>
      <c r="Q1359" s="19"/>
      <c r="U1359" s="20"/>
      <c r="V1359" s="28"/>
    </row>
    <row r="1360" spans="11:22" x14ac:dyDescent="0.45">
      <c r="K1360" s="19"/>
      <c r="L1360" s="20"/>
      <c r="M1360" s="19"/>
      <c r="N1360" s="29"/>
      <c r="O1360" s="19"/>
      <c r="P1360" s="19"/>
      <c r="Q1360" s="19"/>
      <c r="U1360" s="20"/>
      <c r="V1360" s="28"/>
    </row>
    <row r="1361" spans="11:22" x14ac:dyDescent="0.45">
      <c r="K1361" s="19"/>
      <c r="L1361" s="20"/>
      <c r="M1361" s="19"/>
      <c r="N1361" s="29"/>
      <c r="O1361" s="19"/>
      <c r="P1361" s="19"/>
      <c r="Q1361" s="19"/>
      <c r="U1361" s="20"/>
      <c r="V1361" s="28"/>
    </row>
    <row r="1362" spans="11:22" x14ac:dyDescent="0.45">
      <c r="K1362" s="19"/>
      <c r="L1362" s="20"/>
      <c r="M1362" s="19"/>
      <c r="N1362" s="29"/>
      <c r="O1362" s="19"/>
      <c r="P1362" s="19"/>
      <c r="Q1362" s="19"/>
      <c r="U1362" s="20"/>
      <c r="V1362" s="28"/>
    </row>
    <row r="1363" spans="11:22" x14ac:dyDescent="0.45">
      <c r="K1363" s="19"/>
      <c r="L1363" s="20"/>
      <c r="M1363" s="19"/>
      <c r="N1363" s="29"/>
      <c r="O1363" s="19"/>
      <c r="P1363" s="19"/>
      <c r="Q1363" s="19"/>
      <c r="U1363" s="20"/>
      <c r="V1363" s="28"/>
    </row>
    <row r="1364" spans="11:22" x14ac:dyDescent="0.45">
      <c r="K1364" s="19"/>
      <c r="L1364" s="20"/>
      <c r="M1364" s="19"/>
      <c r="N1364" s="29"/>
      <c r="O1364" s="19"/>
      <c r="P1364" s="19"/>
      <c r="Q1364" s="19"/>
      <c r="U1364" s="20"/>
      <c r="V1364" s="28"/>
    </row>
    <row r="1365" spans="11:22" x14ac:dyDescent="0.45">
      <c r="K1365" s="19"/>
      <c r="L1365" s="20"/>
      <c r="M1365" s="19"/>
      <c r="N1365" s="29"/>
      <c r="O1365" s="19"/>
      <c r="P1365" s="19"/>
      <c r="Q1365" s="19"/>
      <c r="U1365" s="20"/>
      <c r="V1365" s="28"/>
    </row>
    <row r="1366" spans="11:22" x14ac:dyDescent="0.45">
      <c r="K1366" s="19"/>
      <c r="L1366" s="20"/>
      <c r="M1366" s="19"/>
      <c r="N1366" s="29"/>
      <c r="O1366" s="19"/>
      <c r="P1366" s="19"/>
      <c r="Q1366" s="19"/>
      <c r="U1366" s="20"/>
      <c r="V1366" s="28"/>
    </row>
    <row r="1367" spans="11:22" x14ac:dyDescent="0.45">
      <c r="K1367" s="19"/>
      <c r="L1367" s="20"/>
      <c r="M1367" s="19"/>
      <c r="N1367" s="29"/>
      <c r="O1367" s="19"/>
      <c r="P1367" s="19"/>
      <c r="Q1367" s="19"/>
      <c r="U1367" s="20"/>
      <c r="V1367" s="28"/>
    </row>
    <row r="1368" spans="11:22" x14ac:dyDescent="0.45">
      <c r="K1368" s="19"/>
      <c r="L1368" s="20"/>
      <c r="M1368" s="19"/>
      <c r="N1368" s="29"/>
      <c r="O1368" s="19"/>
      <c r="P1368" s="19"/>
      <c r="Q1368" s="19"/>
      <c r="U1368" s="20"/>
      <c r="V1368" s="28"/>
    </row>
    <row r="1369" spans="11:22" x14ac:dyDescent="0.45">
      <c r="K1369" s="19"/>
      <c r="L1369" s="20"/>
      <c r="M1369" s="19"/>
      <c r="N1369" s="29"/>
      <c r="O1369" s="19"/>
      <c r="P1369" s="19"/>
      <c r="Q1369" s="19"/>
      <c r="U1369" s="20"/>
      <c r="V1369" s="28"/>
    </row>
  </sheetData>
  <dataConsolidate/>
  <mergeCells count="2">
    <mergeCell ref="A1:H1"/>
    <mergeCell ref="K1:V1"/>
  </mergeCells>
  <conditionalFormatting sqref="H1:H1048576">
    <cfRule type="containsText" dxfId="6" priority="1" operator="containsText" text="24">
      <formula>NOT(ISERROR(SEARCH("24",H1)))</formula>
    </cfRule>
  </conditionalFormatting>
  <conditionalFormatting sqref="T1:T1048576">
    <cfRule type="containsText" dxfId="5" priority="3" operator="containsText" text="32">
      <formula>NOT(ISERROR(SEARCH("32",T1)))</formula>
    </cfRule>
  </conditionalFormatting>
  <conditionalFormatting sqref="T2:T1048576">
    <cfRule type="containsText" dxfId="4" priority="4" operator="containsText" text="33">
      <formula>NOT(ISERROR(SEARCH("33",T2)))</formula>
    </cfRule>
    <cfRule type="containsText" dxfId="3" priority="5" operator="containsText" text="35">
      <formula>NOT(ISERROR(SEARCH("35",T2)))</formula>
    </cfRule>
    <cfRule type="containsText" dxfId="2" priority="6" operator="containsText" text="78">
      <formula>NOT(ISERROR(SEARCH("78",T2)))</formula>
    </cfRule>
    <cfRule type="containsText" dxfId="1" priority="7" operator="containsText" text="77">
      <formula>NOT(ISERROR(SEARCH("77",T2)))</formula>
    </cfRule>
  </conditionalFormatting>
  <conditionalFormatting sqref="U1:U1048576">
    <cfRule type="containsText" dxfId="0" priority="2" operator="containsText" text="24">
      <formula>NOT(ISERROR(SEARCH("24",U1)))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85DC-E5BA-4C47-A89C-DDEA03813476}">
  <dimension ref="A1:M240"/>
  <sheetViews>
    <sheetView tabSelected="1" topLeftCell="A9" workbookViewId="0">
      <selection activeCell="A15" sqref="A15:F38"/>
    </sheetView>
  </sheetViews>
  <sheetFormatPr defaultRowHeight="15" x14ac:dyDescent="0.25"/>
  <cols>
    <col min="1" max="1" width="13" customWidth="1"/>
    <col min="2" max="2" width="12.28515625" customWidth="1"/>
  </cols>
  <sheetData>
    <row r="1" spans="1:13" x14ac:dyDescent="0.25">
      <c r="A1">
        <v>344</v>
      </c>
      <c r="B1" s="33">
        <v>46132</v>
      </c>
      <c r="C1" t="s">
        <v>115</v>
      </c>
      <c r="D1" t="s">
        <v>193</v>
      </c>
      <c r="E1" t="s">
        <v>141</v>
      </c>
      <c r="F1">
        <v>105</v>
      </c>
      <c r="G1" t="s">
        <v>108</v>
      </c>
      <c r="H1">
        <v>700</v>
      </c>
      <c r="I1">
        <v>105</v>
      </c>
      <c r="J1">
        <v>700</v>
      </c>
      <c r="K1" t="s">
        <v>122</v>
      </c>
      <c r="L1">
        <v>0</v>
      </c>
      <c r="M1">
        <v>0</v>
      </c>
    </row>
    <row r="2" spans="1:13" x14ac:dyDescent="0.25">
      <c r="A2">
        <v>961</v>
      </c>
      <c r="B2" s="33">
        <v>46132</v>
      </c>
      <c r="C2" t="s">
        <v>115</v>
      </c>
      <c r="D2">
        <v>359</v>
      </c>
      <c r="E2" t="s">
        <v>182</v>
      </c>
      <c r="F2">
        <v>1350</v>
      </c>
      <c r="G2" t="s">
        <v>108</v>
      </c>
      <c r="H2">
        <v>550</v>
      </c>
      <c r="I2">
        <v>1350</v>
      </c>
      <c r="J2">
        <v>550</v>
      </c>
      <c r="K2" t="s">
        <v>122</v>
      </c>
      <c r="L2">
        <v>0</v>
      </c>
      <c r="M2">
        <v>0</v>
      </c>
    </row>
    <row r="3" spans="1:13" x14ac:dyDescent="0.25">
      <c r="A3">
        <v>644</v>
      </c>
      <c r="B3" s="33">
        <v>46132</v>
      </c>
      <c r="C3" t="s">
        <v>115</v>
      </c>
      <c r="D3" t="s">
        <v>201</v>
      </c>
      <c r="E3" t="s">
        <v>108</v>
      </c>
      <c r="F3">
        <v>5</v>
      </c>
      <c r="G3" t="s">
        <v>166</v>
      </c>
      <c r="H3">
        <v>800</v>
      </c>
      <c r="I3">
        <v>5</v>
      </c>
      <c r="J3">
        <v>800</v>
      </c>
      <c r="K3" t="s">
        <v>122</v>
      </c>
      <c r="L3">
        <v>0</v>
      </c>
      <c r="M3">
        <v>0</v>
      </c>
    </row>
    <row r="4" spans="1:13" x14ac:dyDescent="0.25">
      <c r="A4">
        <v>930</v>
      </c>
      <c r="B4" s="33">
        <v>46132</v>
      </c>
      <c r="C4" t="s">
        <v>115</v>
      </c>
      <c r="D4" t="s">
        <v>206</v>
      </c>
      <c r="E4" t="s">
        <v>108</v>
      </c>
      <c r="F4">
        <v>5</v>
      </c>
      <c r="G4" t="s">
        <v>177</v>
      </c>
      <c r="H4">
        <v>710</v>
      </c>
      <c r="I4">
        <v>5</v>
      </c>
      <c r="J4">
        <v>710</v>
      </c>
      <c r="K4" t="s">
        <v>122</v>
      </c>
      <c r="L4">
        <v>0</v>
      </c>
      <c r="M4">
        <v>0</v>
      </c>
    </row>
    <row r="5" spans="1:13" x14ac:dyDescent="0.25">
      <c r="A5">
        <v>934</v>
      </c>
      <c r="B5" s="33">
        <v>46132</v>
      </c>
      <c r="C5" t="s">
        <v>115</v>
      </c>
      <c r="D5" t="s">
        <v>207</v>
      </c>
      <c r="E5" t="s">
        <v>108</v>
      </c>
      <c r="F5">
        <v>5</v>
      </c>
      <c r="G5" t="s">
        <v>178</v>
      </c>
      <c r="H5">
        <v>715</v>
      </c>
      <c r="I5">
        <v>5</v>
      </c>
      <c r="J5">
        <v>715</v>
      </c>
      <c r="K5" t="s">
        <v>122</v>
      </c>
      <c r="L5">
        <v>0</v>
      </c>
      <c r="M5">
        <v>0</v>
      </c>
    </row>
    <row r="6" spans="1:13" x14ac:dyDescent="0.25">
      <c r="A6">
        <v>954</v>
      </c>
      <c r="B6" s="33">
        <v>46132</v>
      </c>
      <c r="C6" t="s">
        <v>115</v>
      </c>
      <c r="D6" t="s">
        <v>196</v>
      </c>
      <c r="E6" t="s">
        <v>108</v>
      </c>
      <c r="F6">
        <v>5</v>
      </c>
      <c r="G6" t="s">
        <v>181</v>
      </c>
      <c r="H6">
        <v>725</v>
      </c>
      <c r="I6">
        <v>5</v>
      </c>
      <c r="J6">
        <v>725</v>
      </c>
      <c r="K6" t="s">
        <v>122</v>
      </c>
      <c r="L6">
        <v>0</v>
      </c>
      <c r="M6">
        <v>0</v>
      </c>
    </row>
    <row r="7" spans="1:13" x14ac:dyDescent="0.25">
      <c r="A7">
        <v>960</v>
      </c>
      <c r="B7" s="33">
        <v>46132</v>
      </c>
      <c r="C7" t="s">
        <v>115</v>
      </c>
      <c r="D7" t="s">
        <v>210</v>
      </c>
      <c r="E7" t="s">
        <v>108</v>
      </c>
      <c r="F7">
        <v>5</v>
      </c>
      <c r="G7" t="s">
        <v>182</v>
      </c>
      <c r="H7">
        <v>725</v>
      </c>
      <c r="I7">
        <v>5</v>
      </c>
      <c r="J7">
        <v>725</v>
      </c>
      <c r="K7" t="s">
        <v>122</v>
      </c>
      <c r="L7">
        <v>0</v>
      </c>
      <c r="M7">
        <v>0</v>
      </c>
    </row>
    <row r="8" spans="1:13" x14ac:dyDescent="0.25">
      <c r="A8">
        <v>662</v>
      </c>
      <c r="B8" s="33">
        <v>46132</v>
      </c>
      <c r="C8" t="s">
        <v>115</v>
      </c>
      <c r="D8" t="s">
        <v>187</v>
      </c>
      <c r="E8" t="s">
        <v>108</v>
      </c>
      <c r="F8">
        <v>30</v>
      </c>
      <c r="G8" t="s">
        <v>170</v>
      </c>
      <c r="H8">
        <v>545</v>
      </c>
      <c r="I8">
        <v>30</v>
      </c>
      <c r="J8">
        <v>545</v>
      </c>
      <c r="K8" t="s">
        <v>122</v>
      </c>
      <c r="L8">
        <v>0</v>
      </c>
      <c r="M8">
        <v>0</v>
      </c>
    </row>
    <row r="9" spans="1:13" x14ac:dyDescent="0.25">
      <c r="A9">
        <v>910</v>
      </c>
      <c r="B9" s="33">
        <v>46132</v>
      </c>
      <c r="C9" t="s">
        <v>115</v>
      </c>
      <c r="D9" t="s">
        <v>204</v>
      </c>
      <c r="E9" t="s">
        <v>108</v>
      </c>
      <c r="F9">
        <v>30</v>
      </c>
      <c r="G9" t="s">
        <v>174</v>
      </c>
      <c r="H9">
        <v>715</v>
      </c>
      <c r="I9">
        <v>30</v>
      </c>
      <c r="J9">
        <v>715</v>
      </c>
      <c r="K9" t="s">
        <v>122</v>
      </c>
      <c r="L9">
        <v>0</v>
      </c>
      <c r="M9">
        <v>0</v>
      </c>
    </row>
    <row r="10" spans="1:13" x14ac:dyDescent="0.25">
      <c r="A10">
        <v>648</v>
      </c>
      <c r="B10" s="33">
        <v>46132</v>
      </c>
      <c r="C10" t="s">
        <v>115</v>
      </c>
      <c r="D10" t="s">
        <v>202</v>
      </c>
      <c r="E10" t="s">
        <v>108</v>
      </c>
      <c r="F10">
        <v>40</v>
      </c>
      <c r="G10" t="s">
        <v>167</v>
      </c>
      <c r="H10">
        <v>800</v>
      </c>
      <c r="I10">
        <v>40</v>
      </c>
      <c r="J10">
        <v>800</v>
      </c>
      <c r="K10" t="s">
        <v>122</v>
      </c>
      <c r="L10">
        <v>0</v>
      </c>
      <c r="M10">
        <v>0</v>
      </c>
    </row>
    <row r="11" spans="1:13" x14ac:dyDescent="0.25">
      <c r="A11">
        <v>940</v>
      </c>
      <c r="B11" s="33">
        <v>46132</v>
      </c>
      <c r="C11" t="s">
        <v>115</v>
      </c>
      <c r="D11" t="s">
        <v>208</v>
      </c>
      <c r="E11" t="s">
        <v>108</v>
      </c>
      <c r="F11">
        <v>40</v>
      </c>
      <c r="G11" t="s">
        <v>179</v>
      </c>
      <c r="H11">
        <v>735</v>
      </c>
      <c r="I11">
        <v>40</v>
      </c>
      <c r="J11">
        <v>735</v>
      </c>
      <c r="K11" t="s">
        <v>122</v>
      </c>
      <c r="L11">
        <v>0</v>
      </c>
      <c r="M11">
        <v>0</v>
      </c>
    </row>
    <row r="12" spans="1:13" x14ac:dyDescent="0.25">
      <c r="A12">
        <v>924</v>
      </c>
      <c r="B12" s="33">
        <v>46132</v>
      </c>
      <c r="C12" t="s">
        <v>115</v>
      </c>
      <c r="D12" t="s">
        <v>205</v>
      </c>
      <c r="E12" t="s">
        <v>108</v>
      </c>
      <c r="F12">
        <v>50</v>
      </c>
      <c r="G12" t="s">
        <v>176</v>
      </c>
      <c r="H12">
        <v>705</v>
      </c>
      <c r="I12">
        <v>50</v>
      </c>
      <c r="J12">
        <v>705</v>
      </c>
      <c r="K12" t="s">
        <v>122</v>
      </c>
      <c r="L12">
        <v>0</v>
      </c>
      <c r="M12">
        <v>0</v>
      </c>
    </row>
    <row r="13" spans="1:13" x14ac:dyDescent="0.25">
      <c r="A13">
        <v>950</v>
      </c>
      <c r="B13" s="33">
        <v>46132</v>
      </c>
      <c r="C13" t="s">
        <v>115</v>
      </c>
      <c r="D13" t="s">
        <v>209</v>
      </c>
      <c r="E13" t="s">
        <v>108</v>
      </c>
      <c r="F13">
        <v>50</v>
      </c>
      <c r="G13" t="s">
        <v>180</v>
      </c>
      <c r="H13">
        <v>740</v>
      </c>
      <c r="I13">
        <v>50</v>
      </c>
      <c r="J13">
        <v>740</v>
      </c>
      <c r="K13" t="s">
        <v>122</v>
      </c>
      <c r="L13">
        <v>0</v>
      </c>
      <c r="M13">
        <v>0</v>
      </c>
    </row>
    <row r="14" spans="1:13" x14ac:dyDescent="0.25">
      <c r="A14">
        <v>970</v>
      </c>
      <c r="B14" s="33">
        <v>46132</v>
      </c>
      <c r="C14" t="s">
        <v>115</v>
      </c>
      <c r="D14" t="s">
        <v>211</v>
      </c>
      <c r="E14" t="s">
        <v>108</v>
      </c>
      <c r="F14">
        <v>105</v>
      </c>
      <c r="G14" t="s">
        <v>183</v>
      </c>
      <c r="H14">
        <v>750</v>
      </c>
      <c r="I14">
        <v>105</v>
      </c>
      <c r="J14">
        <v>750</v>
      </c>
      <c r="K14" t="s">
        <v>122</v>
      </c>
      <c r="L14">
        <v>0</v>
      </c>
      <c r="M14">
        <v>0</v>
      </c>
    </row>
    <row r="15" spans="1:13" x14ac:dyDescent="0.25">
      <c r="A15">
        <v>2</v>
      </c>
      <c r="B15" s="33">
        <v>46132</v>
      </c>
      <c r="C15" t="s">
        <v>115</v>
      </c>
      <c r="D15" t="s">
        <v>114</v>
      </c>
      <c r="E15" t="s">
        <v>108</v>
      </c>
      <c r="F15">
        <v>700</v>
      </c>
      <c r="G15" t="s">
        <v>121</v>
      </c>
      <c r="H15">
        <v>810</v>
      </c>
      <c r="I15">
        <v>700</v>
      </c>
      <c r="J15">
        <v>810</v>
      </c>
      <c r="K15" t="s">
        <v>122</v>
      </c>
      <c r="L15">
        <v>0</v>
      </c>
      <c r="M15">
        <v>0</v>
      </c>
    </row>
    <row r="16" spans="1:13" x14ac:dyDescent="0.25">
      <c r="A16">
        <v>40</v>
      </c>
      <c r="B16" s="33">
        <v>46132</v>
      </c>
      <c r="C16" t="s">
        <v>115</v>
      </c>
      <c r="D16" t="s">
        <v>114</v>
      </c>
      <c r="E16" t="s">
        <v>108</v>
      </c>
      <c r="F16">
        <v>700</v>
      </c>
      <c r="G16" t="s">
        <v>124</v>
      </c>
      <c r="H16">
        <v>800</v>
      </c>
      <c r="I16">
        <v>700</v>
      </c>
      <c r="J16">
        <v>800</v>
      </c>
      <c r="K16" t="s">
        <v>122</v>
      </c>
      <c r="L16">
        <v>0</v>
      </c>
      <c r="M16">
        <v>0</v>
      </c>
    </row>
    <row r="17" spans="1:13" x14ac:dyDescent="0.25">
      <c r="A17">
        <v>259</v>
      </c>
      <c r="B17" s="33">
        <v>46132</v>
      </c>
      <c r="C17" t="s">
        <v>115</v>
      </c>
      <c r="D17" t="s">
        <v>114</v>
      </c>
      <c r="E17" t="s">
        <v>108</v>
      </c>
      <c r="F17">
        <v>700</v>
      </c>
      <c r="G17" t="s">
        <v>130</v>
      </c>
      <c r="H17">
        <v>825</v>
      </c>
      <c r="I17">
        <v>700</v>
      </c>
      <c r="J17">
        <v>825</v>
      </c>
      <c r="K17" t="s">
        <v>122</v>
      </c>
      <c r="L17">
        <v>0</v>
      </c>
      <c r="M17">
        <v>0</v>
      </c>
    </row>
    <row r="18" spans="1:13" x14ac:dyDescent="0.25">
      <c r="A18">
        <v>20</v>
      </c>
      <c r="B18" s="33">
        <v>46132</v>
      </c>
      <c r="C18" t="s">
        <v>115</v>
      </c>
      <c r="D18" t="s">
        <v>114</v>
      </c>
      <c r="E18" t="s">
        <v>108</v>
      </c>
      <c r="F18">
        <v>705</v>
      </c>
      <c r="G18" t="s">
        <v>123</v>
      </c>
      <c r="H18">
        <v>815</v>
      </c>
      <c r="I18">
        <v>705</v>
      </c>
      <c r="J18">
        <v>815</v>
      </c>
      <c r="K18" t="s">
        <v>122</v>
      </c>
      <c r="L18">
        <v>0</v>
      </c>
      <c r="M18">
        <v>0</v>
      </c>
    </row>
    <row r="19" spans="1:13" x14ac:dyDescent="0.25">
      <c r="A19">
        <v>102</v>
      </c>
      <c r="B19" s="33">
        <v>46132</v>
      </c>
      <c r="C19" t="s">
        <v>115</v>
      </c>
      <c r="D19" t="s">
        <v>114</v>
      </c>
      <c r="E19" t="s">
        <v>108</v>
      </c>
      <c r="F19">
        <v>725</v>
      </c>
      <c r="G19" t="s">
        <v>125</v>
      </c>
      <c r="H19">
        <v>845</v>
      </c>
      <c r="I19">
        <v>725</v>
      </c>
      <c r="J19">
        <v>845</v>
      </c>
      <c r="K19" t="s">
        <v>122</v>
      </c>
      <c r="L19">
        <v>0</v>
      </c>
      <c r="M19">
        <v>0</v>
      </c>
    </row>
    <row r="20" spans="1:13" x14ac:dyDescent="0.25">
      <c r="A20">
        <v>620</v>
      </c>
      <c r="B20" s="33">
        <v>46132</v>
      </c>
      <c r="C20" t="s">
        <v>115</v>
      </c>
      <c r="D20" t="s">
        <v>114</v>
      </c>
      <c r="E20" t="s">
        <v>108</v>
      </c>
      <c r="F20">
        <v>725</v>
      </c>
      <c r="G20" t="s">
        <v>161</v>
      </c>
      <c r="H20">
        <v>1145</v>
      </c>
      <c r="I20">
        <v>725</v>
      </c>
      <c r="J20">
        <v>1145</v>
      </c>
      <c r="K20" t="s">
        <v>122</v>
      </c>
      <c r="L20">
        <v>0</v>
      </c>
      <c r="M20">
        <v>0</v>
      </c>
    </row>
    <row r="21" spans="1:13" x14ac:dyDescent="0.25">
      <c r="A21">
        <v>201</v>
      </c>
      <c r="B21" s="33">
        <v>46132</v>
      </c>
      <c r="C21" t="s">
        <v>115</v>
      </c>
      <c r="D21" t="s">
        <v>114</v>
      </c>
      <c r="E21" t="s">
        <v>108</v>
      </c>
      <c r="F21">
        <v>730</v>
      </c>
      <c r="G21" t="s">
        <v>127</v>
      </c>
      <c r="H21">
        <v>900</v>
      </c>
      <c r="I21">
        <v>730</v>
      </c>
      <c r="J21">
        <v>900</v>
      </c>
      <c r="K21" t="s">
        <v>122</v>
      </c>
      <c r="L21">
        <v>0</v>
      </c>
      <c r="M21">
        <v>0</v>
      </c>
    </row>
    <row r="22" spans="1:13" x14ac:dyDescent="0.25">
      <c r="A22">
        <v>481</v>
      </c>
      <c r="B22" s="33">
        <v>46132</v>
      </c>
      <c r="C22" t="s">
        <v>115</v>
      </c>
      <c r="D22">
        <v>789</v>
      </c>
      <c r="E22" t="s">
        <v>108</v>
      </c>
      <c r="F22">
        <v>730</v>
      </c>
      <c r="G22" t="s">
        <v>152</v>
      </c>
      <c r="H22">
        <v>1505</v>
      </c>
      <c r="I22">
        <v>730</v>
      </c>
      <c r="J22">
        <v>1505</v>
      </c>
      <c r="K22" t="s">
        <v>122</v>
      </c>
      <c r="L22">
        <v>0</v>
      </c>
      <c r="M22">
        <v>0</v>
      </c>
    </row>
    <row r="23" spans="1:13" x14ac:dyDescent="0.25">
      <c r="A23">
        <v>586</v>
      </c>
      <c r="B23" s="33">
        <v>46132</v>
      </c>
      <c r="C23" t="s">
        <v>115</v>
      </c>
      <c r="D23" t="s">
        <v>114</v>
      </c>
      <c r="E23" t="s">
        <v>108</v>
      </c>
      <c r="F23">
        <v>730</v>
      </c>
      <c r="G23" t="s">
        <v>156</v>
      </c>
      <c r="H23">
        <v>850</v>
      </c>
      <c r="I23">
        <v>730</v>
      </c>
      <c r="J23">
        <v>850</v>
      </c>
      <c r="K23" t="s">
        <v>122</v>
      </c>
      <c r="L23">
        <v>0</v>
      </c>
      <c r="M23">
        <v>0</v>
      </c>
    </row>
    <row r="24" spans="1:13" x14ac:dyDescent="0.25">
      <c r="A24">
        <v>323</v>
      </c>
      <c r="B24" s="33">
        <v>46132</v>
      </c>
      <c r="C24" t="s">
        <v>115</v>
      </c>
      <c r="D24" t="s">
        <v>117</v>
      </c>
      <c r="E24" t="s">
        <v>108</v>
      </c>
      <c r="F24">
        <v>735</v>
      </c>
      <c r="G24" t="s">
        <v>135</v>
      </c>
      <c r="H24">
        <v>1035</v>
      </c>
      <c r="I24">
        <v>735</v>
      </c>
      <c r="J24">
        <v>1035</v>
      </c>
      <c r="K24" t="s">
        <v>122</v>
      </c>
      <c r="L24">
        <v>0</v>
      </c>
      <c r="M24">
        <v>0</v>
      </c>
    </row>
    <row r="25" spans="1:13" x14ac:dyDescent="0.25">
      <c r="A25">
        <v>550</v>
      </c>
      <c r="B25" s="33">
        <v>46132</v>
      </c>
      <c r="C25" t="s">
        <v>115</v>
      </c>
      <c r="D25" t="s">
        <v>114</v>
      </c>
      <c r="E25" t="s">
        <v>108</v>
      </c>
      <c r="F25">
        <v>735</v>
      </c>
      <c r="G25" t="s">
        <v>153</v>
      </c>
      <c r="H25">
        <v>905</v>
      </c>
      <c r="I25">
        <v>735</v>
      </c>
      <c r="J25">
        <v>905</v>
      </c>
      <c r="K25" t="s">
        <v>122</v>
      </c>
      <c r="L25">
        <v>0</v>
      </c>
      <c r="M25">
        <v>0</v>
      </c>
    </row>
    <row r="26" spans="1:13" x14ac:dyDescent="0.25">
      <c r="A26">
        <v>241</v>
      </c>
      <c r="B26" s="33">
        <v>46132</v>
      </c>
      <c r="C26" t="s">
        <v>115</v>
      </c>
      <c r="D26" t="s">
        <v>114</v>
      </c>
      <c r="E26" t="s">
        <v>108</v>
      </c>
      <c r="F26">
        <v>740</v>
      </c>
      <c r="G26" t="s">
        <v>128</v>
      </c>
      <c r="H26">
        <v>900</v>
      </c>
      <c r="I26">
        <v>740</v>
      </c>
      <c r="J26">
        <v>900</v>
      </c>
      <c r="K26" t="s">
        <v>122</v>
      </c>
      <c r="L26">
        <v>0</v>
      </c>
      <c r="M26">
        <v>0</v>
      </c>
    </row>
    <row r="27" spans="1:13" x14ac:dyDescent="0.25">
      <c r="A27">
        <v>560</v>
      </c>
      <c r="B27" s="33">
        <v>46132</v>
      </c>
      <c r="C27" t="s">
        <v>115</v>
      </c>
      <c r="D27" t="s">
        <v>114</v>
      </c>
      <c r="E27" t="s">
        <v>108</v>
      </c>
      <c r="F27">
        <v>745</v>
      </c>
      <c r="G27" t="s">
        <v>154</v>
      </c>
      <c r="H27">
        <v>935</v>
      </c>
      <c r="I27">
        <v>745</v>
      </c>
      <c r="J27">
        <v>935</v>
      </c>
      <c r="K27" t="s">
        <v>122</v>
      </c>
      <c r="L27">
        <v>0</v>
      </c>
      <c r="M27">
        <v>0</v>
      </c>
    </row>
    <row r="28" spans="1:13" x14ac:dyDescent="0.25">
      <c r="A28">
        <v>676</v>
      </c>
      <c r="B28" s="33">
        <v>46132</v>
      </c>
      <c r="C28" t="s">
        <v>115</v>
      </c>
      <c r="D28" t="s">
        <v>120</v>
      </c>
      <c r="E28" t="s">
        <v>108</v>
      </c>
      <c r="F28">
        <v>745</v>
      </c>
      <c r="G28" t="s">
        <v>165</v>
      </c>
      <c r="H28">
        <v>1555</v>
      </c>
      <c r="I28">
        <v>745</v>
      </c>
      <c r="J28">
        <v>1555</v>
      </c>
      <c r="K28" t="s">
        <v>122</v>
      </c>
      <c r="L28">
        <v>0</v>
      </c>
      <c r="M28">
        <v>0</v>
      </c>
    </row>
    <row r="29" spans="1:13" x14ac:dyDescent="0.25">
      <c r="A29">
        <v>403</v>
      </c>
      <c r="B29" s="33">
        <v>46132</v>
      </c>
      <c r="C29" t="s">
        <v>115</v>
      </c>
      <c r="D29" t="s">
        <v>151</v>
      </c>
      <c r="E29" t="s">
        <v>108</v>
      </c>
      <c r="F29">
        <v>800</v>
      </c>
      <c r="G29" t="s">
        <v>144</v>
      </c>
      <c r="H29">
        <v>1115</v>
      </c>
      <c r="I29">
        <v>800</v>
      </c>
      <c r="J29">
        <v>1115</v>
      </c>
      <c r="K29" t="s">
        <v>122</v>
      </c>
      <c r="L29">
        <v>0</v>
      </c>
      <c r="M29">
        <v>0</v>
      </c>
    </row>
    <row r="30" spans="1:13" x14ac:dyDescent="0.25">
      <c r="A30">
        <v>433</v>
      </c>
      <c r="B30" s="33">
        <v>46132</v>
      </c>
      <c r="C30" t="s">
        <v>115</v>
      </c>
      <c r="D30" t="s">
        <v>117</v>
      </c>
      <c r="E30" t="s">
        <v>108</v>
      </c>
      <c r="F30">
        <v>800</v>
      </c>
      <c r="G30" t="s">
        <v>148</v>
      </c>
      <c r="H30">
        <v>1135</v>
      </c>
      <c r="I30">
        <v>800</v>
      </c>
      <c r="J30">
        <v>1135</v>
      </c>
      <c r="K30" t="s">
        <v>122</v>
      </c>
      <c r="L30">
        <v>0</v>
      </c>
      <c r="M30">
        <v>0</v>
      </c>
    </row>
    <row r="31" spans="1:13" x14ac:dyDescent="0.25">
      <c r="A31">
        <v>600</v>
      </c>
      <c r="B31" s="33">
        <v>46132</v>
      </c>
      <c r="C31" t="s">
        <v>115</v>
      </c>
      <c r="D31" t="s">
        <v>118</v>
      </c>
      <c r="E31" t="s">
        <v>108</v>
      </c>
      <c r="F31">
        <v>800</v>
      </c>
      <c r="G31" t="s">
        <v>157</v>
      </c>
      <c r="H31">
        <v>1145</v>
      </c>
      <c r="I31">
        <v>800</v>
      </c>
      <c r="J31">
        <v>1145</v>
      </c>
      <c r="K31" t="s">
        <v>122</v>
      </c>
      <c r="L31">
        <v>0</v>
      </c>
      <c r="M31">
        <v>0</v>
      </c>
    </row>
    <row r="32" spans="1:13" x14ac:dyDescent="0.25">
      <c r="A32">
        <v>652</v>
      </c>
      <c r="B32" s="33">
        <v>46132</v>
      </c>
      <c r="C32" t="s">
        <v>115</v>
      </c>
      <c r="D32">
        <v>359</v>
      </c>
      <c r="E32" t="s">
        <v>108</v>
      </c>
      <c r="F32">
        <v>800</v>
      </c>
      <c r="G32" t="s">
        <v>168</v>
      </c>
      <c r="H32">
        <v>1525</v>
      </c>
      <c r="I32">
        <v>800</v>
      </c>
      <c r="J32">
        <v>1525</v>
      </c>
      <c r="K32" t="s">
        <v>122</v>
      </c>
      <c r="L32">
        <v>0</v>
      </c>
      <c r="M32">
        <v>0</v>
      </c>
    </row>
    <row r="33" spans="1:13" x14ac:dyDescent="0.25">
      <c r="A33">
        <v>130</v>
      </c>
      <c r="B33" s="33">
        <v>46132</v>
      </c>
      <c r="C33" t="s">
        <v>115</v>
      </c>
      <c r="D33" t="s">
        <v>114</v>
      </c>
      <c r="E33" t="s">
        <v>108</v>
      </c>
      <c r="F33">
        <v>805</v>
      </c>
      <c r="G33" t="s">
        <v>126</v>
      </c>
      <c r="H33">
        <v>940</v>
      </c>
      <c r="I33">
        <v>805</v>
      </c>
      <c r="J33">
        <v>940</v>
      </c>
      <c r="K33" t="s">
        <v>122</v>
      </c>
      <c r="L33">
        <v>0</v>
      </c>
      <c r="M33">
        <v>0</v>
      </c>
    </row>
    <row r="34" spans="1:13" x14ac:dyDescent="0.25">
      <c r="A34">
        <v>203</v>
      </c>
      <c r="B34" s="33">
        <v>46132</v>
      </c>
      <c r="C34" t="s">
        <v>115</v>
      </c>
      <c r="D34" t="s">
        <v>114</v>
      </c>
      <c r="E34" t="s">
        <v>108</v>
      </c>
      <c r="F34">
        <v>805</v>
      </c>
      <c r="G34" t="s">
        <v>127</v>
      </c>
      <c r="H34">
        <v>935</v>
      </c>
      <c r="I34">
        <v>805</v>
      </c>
      <c r="J34">
        <v>935</v>
      </c>
      <c r="K34" t="s">
        <v>122</v>
      </c>
      <c r="L34">
        <v>0</v>
      </c>
      <c r="M34">
        <v>0</v>
      </c>
    </row>
    <row r="35" spans="1:13" x14ac:dyDescent="0.25">
      <c r="A35">
        <v>461</v>
      </c>
      <c r="B35" s="33">
        <v>46132</v>
      </c>
      <c r="C35" t="s">
        <v>115</v>
      </c>
      <c r="D35">
        <v>359</v>
      </c>
      <c r="E35" t="s">
        <v>108</v>
      </c>
      <c r="F35">
        <v>810</v>
      </c>
      <c r="G35" t="s">
        <v>149</v>
      </c>
      <c r="H35">
        <v>2000</v>
      </c>
      <c r="I35">
        <v>810</v>
      </c>
      <c r="J35">
        <v>2000</v>
      </c>
      <c r="K35" t="s">
        <v>122</v>
      </c>
      <c r="L35">
        <v>0</v>
      </c>
      <c r="M35">
        <v>0</v>
      </c>
    </row>
    <row r="36" spans="1:13" x14ac:dyDescent="0.25">
      <c r="A36">
        <v>632</v>
      </c>
      <c r="B36" s="33">
        <v>46132</v>
      </c>
      <c r="C36" t="s">
        <v>115</v>
      </c>
      <c r="D36" t="s">
        <v>118</v>
      </c>
      <c r="E36" t="s">
        <v>108</v>
      </c>
      <c r="F36">
        <v>825</v>
      </c>
      <c r="G36" t="s">
        <v>164</v>
      </c>
      <c r="H36">
        <v>1305</v>
      </c>
      <c r="I36">
        <v>825</v>
      </c>
      <c r="J36">
        <v>1305</v>
      </c>
      <c r="K36" t="s">
        <v>122</v>
      </c>
      <c r="L36">
        <v>0</v>
      </c>
      <c r="M36">
        <v>0</v>
      </c>
    </row>
    <row r="37" spans="1:13" x14ac:dyDescent="0.25">
      <c r="A37">
        <v>672</v>
      </c>
      <c r="B37" s="33">
        <v>46132</v>
      </c>
      <c r="C37" t="s">
        <v>115</v>
      </c>
      <c r="D37" t="s">
        <v>118</v>
      </c>
      <c r="E37" t="s">
        <v>108</v>
      </c>
      <c r="F37">
        <v>825</v>
      </c>
      <c r="G37" t="s">
        <v>162</v>
      </c>
      <c r="H37">
        <v>1555</v>
      </c>
      <c r="I37">
        <v>825</v>
      </c>
      <c r="J37">
        <v>1555</v>
      </c>
      <c r="K37" t="s">
        <v>122</v>
      </c>
      <c r="L37">
        <v>0</v>
      </c>
      <c r="M37">
        <v>0</v>
      </c>
    </row>
    <row r="38" spans="1:13" x14ac:dyDescent="0.25">
      <c r="A38">
        <v>475</v>
      </c>
      <c r="B38" s="33">
        <v>46132</v>
      </c>
      <c r="C38" t="s">
        <v>115</v>
      </c>
      <c r="D38" t="s">
        <v>119</v>
      </c>
      <c r="E38" t="s">
        <v>108</v>
      </c>
      <c r="F38">
        <v>830</v>
      </c>
      <c r="G38" t="s">
        <v>150</v>
      </c>
      <c r="H38">
        <v>2030</v>
      </c>
      <c r="I38">
        <v>830</v>
      </c>
      <c r="J38">
        <v>2030</v>
      </c>
      <c r="K38" t="s">
        <v>122</v>
      </c>
      <c r="L38">
        <v>0</v>
      </c>
      <c r="M38">
        <v>0</v>
      </c>
    </row>
    <row r="39" spans="1:13" x14ac:dyDescent="0.25">
      <c r="A39">
        <v>415</v>
      </c>
      <c r="B39" s="33">
        <v>46132</v>
      </c>
      <c r="C39" t="s">
        <v>115</v>
      </c>
      <c r="D39" t="s">
        <v>116</v>
      </c>
      <c r="E39" t="s">
        <v>108</v>
      </c>
      <c r="F39">
        <v>905</v>
      </c>
      <c r="G39" t="s">
        <v>145</v>
      </c>
      <c r="H39">
        <v>1215</v>
      </c>
      <c r="I39">
        <v>905</v>
      </c>
      <c r="J39">
        <v>1215</v>
      </c>
      <c r="K39" t="s">
        <v>122</v>
      </c>
      <c r="L39">
        <v>0</v>
      </c>
      <c r="M39">
        <v>0</v>
      </c>
    </row>
    <row r="40" spans="1:13" x14ac:dyDescent="0.25">
      <c r="A40">
        <v>205</v>
      </c>
      <c r="B40" s="33">
        <v>46132</v>
      </c>
      <c r="C40" t="s">
        <v>115</v>
      </c>
      <c r="D40" t="s">
        <v>114</v>
      </c>
      <c r="E40" t="s">
        <v>108</v>
      </c>
      <c r="F40">
        <v>930</v>
      </c>
      <c r="G40" t="s">
        <v>127</v>
      </c>
      <c r="H40">
        <v>1100</v>
      </c>
      <c r="I40">
        <v>930</v>
      </c>
      <c r="J40">
        <v>1100</v>
      </c>
      <c r="K40" t="s">
        <v>122</v>
      </c>
      <c r="L40">
        <v>0</v>
      </c>
      <c r="M40">
        <v>0</v>
      </c>
    </row>
    <row r="41" spans="1:13" x14ac:dyDescent="0.25">
      <c r="A41">
        <v>301</v>
      </c>
      <c r="B41" s="33">
        <v>46132</v>
      </c>
      <c r="C41" t="s">
        <v>115</v>
      </c>
      <c r="D41" t="s">
        <v>114</v>
      </c>
      <c r="E41" t="s">
        <v>108</v>
      </c>
      <c r="F41">
        <v>935</v>
      </c>
      <c r="G41" t="s">
        <v>131</v>
      </c>
      <c r="H41">
        <v>1035</v>
      </c>
      <c r="I41">
        <v>935</v>
      </c>
      <c r="J41">
        <v>1035</v>
      </c>
      <c r="K41" t="s">
        <v>122</v>
      </c>
      <c r="L41">
        <v>0</v>
      </c>
      <c r="M41">
        <v>0</v>
      </c>
    </row>
    <row r="42" spans="1:13" x14ac:dyDescent="0.25">
      <c r="A42">
        <v>431</v>
      </c>
      <c r="B42" s="33">
        <v>46132</v>
      </c>
      <c r="C42" t="s">
        <v>115</v>
      </c>
      <c r="D42">
        <v>359</v>
      </c>
      <c r="E42" t="s">
        <v>108</v>
      </c>
      <c r="F42">
        <v>935</v>
      </c>
      <c r="G42" t="s">
        <v>147</v>
      </c>
      <c r="H42">
        <v>1455</v>
      </c>
      <c r="I42">
        <v>935</v>
      </c>
      <c r="J42">
        <v>1455</v>
      </c>
      <c r="K42" t="s">
        <v>122</v>
      </c>
      <c r="L42">
        <v>0</v>
      </c>
      <c r="M42">
        <v>0</v>
      </c>
    </row>
    <row r="43" spans="1:13" x14ac:dyDescent="0.25">
      <c r="A43">
        <v>104</v>
      </c>
      <c r="B43" s="33">
        <v>46132</v>
      </c>
      <c r="C43" t="s">
        <v>115</v>
      </c>
      <c r="D43" t="s">
        <v>114</v>
      </c>
      <c r="E43" t="s">
        <v>108</v>
      </c>
      <c r="F43">
        <v>955</v>
      </c>
      <c r="G43" t="s">
        <v>125</v>
      </c>
      <c r="H43">
        <v>1115</v>
      </c>
      <c r="I43">
        <v>955</v>
      </c>
      <c r="J43">
        <v>1115</v>
      </c>
      <c r="K43" t="s">
        <v>122</v>
      </c>
      <c r="L43">
        <v>0</v>
      </c>
      <c r="M43">
        <v>0</v>
      </c>
    </row>
    <row r="44" spans="1:13" x14ac:dyDescent="0.25">
      <c r="A44">
        <v>614</v>
      </c>
      <c r="B44" s="33">
        <v>46132</v>
      </c>
      <c r="C44" t="s">
        <v>115</v>
      </c>
      <c r="D44">
        <v>359</v>
      </c>
      <c r="E44" t="s">
        <v>108</v>
      </c>
      <c r="F44">
        <v>1000</v>
      </c>
      <c r="G44" t="s">
        <v>159</v>
      </c>
      <c r="H44">
        <v>1545</v>
      </c>
      <c r="I44">
        <v>1000</v>
      </c>
      <c r="J44">
        <v>1545</v>
      </c>
      <c r="K44" t="s">
        <v>122</v>
      </c>
      <c r="L44">
        <v>0</v>
      </c>
      <c r="M44">
        <v>0</v>
      </c>
    </row>
    <row r="45" spans="1:13" x14ac:dyDescent="0.25">
      <c r="A45">
        <v>319</v>
      </c>
      <c r="B45" s="33">
        <v>46132</v>
      </c>
      <c r="C45" t="s">
        <v>115</v>
      </c>
      <c r="D45" t="s">
        <v>114</v>
      </c>
      <c r="E45" t="s">
        <v>108</v>
      </c>
      <c r="F45">
        <v>1015</v>
      </c>
      <c r="G45" t="s">
        <v>133</v>
      </c>
      <c r="H45">
        <v>1225</v>
      </c>
      <c r="I45">
        <v>1015</v>
      </c>
      <c r="J45">
        <v>1225</v>
      </c>
      <c r="K45" t="s">
        <v>122</v>
      </c>
      <c r="L45">
        <v>0</v>
      </c>
      <c r="M45">
        <v>0</v>
      </c>
    </row>
    <row r="46" spans="1:13" x14ac:dyDescent="0.25">
      <c r="A46">
        <v>618</v>
      </c>
      <c r="B46" s="33">
        <v>46132</v>
      </c>
      <c r="C46" t="s">
        <v>115</v>
      </c>
      <c r="D46">
        <v>788</v>
      </c>
      <c r="E46" t="s">
        <v>108</v>
      </c>
      <c r="F46">
        <v>1015</v>
      </c>
      <c r="G46" t="s">
        <v>160</v>
      </c>
      <c r="H46">
        <v>1425</v>
      </c>
      <c r="I46">
        <v>1015</v>
      </c>
      <c r="J46">
        <v>1425</v>
      </c>
      <c r="K46" t="s">
        <v>122</v>
      </c>
      <c r="L46">
        <v>0</v>
      </c>
      <c r="M46">
        <v>0</v>
      </c>
    </row>
    <row r="47" spans="1:13" x14ac:dyDescent="0.25">
      <c r="A47">
        <v>42</v>
      </c>
      <c r="B47" s="33">
        <v>46132</v>
      </c>
      <c r="C47" t="s">
        <v>115</v>
      </c>
      <c r="D47" t="s">
        <v>114</v>
      </c>
      <c r="E47" t="s">
        <v>108</v>
      </c>
      <c r="F47">
        <v>1030</v>
      </c>
      <c r="G47" t="s">
        <v>124</v>
      </c>
      <c r="H47">
        <v>1135</v>
      </c>
      <c r="I47">
        <v>1030</v>
      </c>
      <c r="J47">
        <v>1135</v>
      </c>
      <c r="K47" t="s">
        <v>122</v>
      </c>
      <c r="L47">
        <v>0</v>
      </c>
      <c r="M47">
        <v>0</v>
      </c>
    </row>
    <row r="48" spans="1:13" x14ac:dyDescent="0.25">
      <c r="A48">
        <v>628</v>
      </c>
      <c r="B48" s="33">
        <v>46132</v>
      </c>
      <c r="C48" t="s">
        <v>115</v>
      </c>
      <c r="D48" t="s">
        <v>114</v>
      </c>
      <c r="E48" t="s">
        <v>108</v>
      </c>
      <c r="F48">
        <v>1030</v>
      </c>
      <c r="G48" t="s">
        <v>157</v>
      </c>
      <c r="H48">
        <v>1420</v>
      </c>
      <c r="I48">
        <v>1030</v>
      </c>
      <c r="J48">
        <v>1420</v>
      </c>
      <c r="K48" t="s">
        <v>122</v>
      </c>
      <c r="L48">
        <v>0</v>
      </c>
      <c r="M48">
        <v>0</v>
      </c>
    </row>
    <row r="49" spans="1:13" x14ac:dyDescent="0.25">
      <c r="A49">
        <v>668</v>
      </c>
      <c r="B49" s="33">
        <v>46132</v>
      </c>
      <c r="C49" t="s">
        <v>115</v>
      </c>
      <c r="D49">
        <v>788</v>
      </c>
      <c r="E49" t="s">
        <v>108</v>
      </c>
      <c r="F49">
        <v>1030</v>
      </c>
      <c r="G49" t="s">
        <v>171</v>
      </c>
      <c r="H49">
        <v>1430</v>
      </c>
      <c r="I49">
        <v>1030</v>
      </c>
      <c r="J49">
        <v>1430</v>
      </c>
      <c r="K49" t="s">
        <v>122</v>
      </c>
      <c r="L49">
        <v>0</v>
      </c>
      <c r="M49">
        <v>0</v>
      </c>
    </row>
    <row r="50" spans="1:13" x14ac:dyDescent="0.25">
      <c r="A50">
        <v>321</v>
      </c>
      <c r="B50" s="33">
        <v>46132</v>
      </c>
      <c r="C50" t="s">
        <v>115</v>
      </c>
      <c r="D50">
        <v>788</v>
      </c>
      <c r="E50" t="s">
        <v>108</v>
      </c>
      <c r="F50">
        <v>1035</v>
      </c>
      <c r="G50" t="s">
        <v>137</v>
      </c>
      <c r="H50">
        <v>1210</v>
      </c>
      <c r="I50">
        <v>1035</v>
      </c>
      <c r="J50">
        <v>1210</v>
      </c>
      <c r="K50" t="s">
        <v>122</v>
      </c>
      <c r="L50">
        <v>0</v>
      </c>
      <c r="M50">
        <v>0</v>
      </c>
    </row>
    <row r="51" spans="1:13" x14ac:dyDescent="0.25">
      <c r="A51">
        <v>612</v>
      </c>
      <c r="B51" s="33">
        <v>46132</v>
      </c>
      <c r="C51" t="s">
        <v>115</v>
      </c>
      <c r="D51" t="s">
        <v>107</v>
      </c>
      <c r="E51" t="s">
        <v>108</v>
      </c>
      <c r="F51">
        <v>1045</v>
      </c>
      <c r="G51" t="s">
        <v>158</v>
      </c>
      <c r="H51">
        <v>1400</v>
      </c>
      <c r="I51">
        <v>1045</v>
      </c>
      <c r="J51">
        <v>1400</v>
      </c>
      <c r="K51" t="s">
        <v>122</v>
      </c>
      <c r="L51">
        <v>0</v>
      </c>
      <c r="M51">
        <v>0</v>
      </c>
    </row>
    <row r="52" spans="1:13" x14ac:dyDescent="0.25">
      <c r="A52">
        <v>664</v>
      </c>
      <c r="B52" s="33">
        <v>46132</v>
      </c>
      <c r="C52" t="s">
        <v>115</v>
      </c>
      <c r="D52" t="s">
        <v>151</v>
      </c>
      <c r="E52" t="s">
        <v>108</v>
      </c>
      <c r="F52">
        <v>1045</v>
      </c>
      <c r="G52" t="s">
        <v>170</v>
      </c>
      <c r="H52">
        <v>1600</v>
      </c>
      <c r="I52">
        <v>1045</v>
      </c>
      <c r="J52">
        <v>1600</v>
      </c>
      <c r="K52" t="s">
        <v>122</v>
      </c>
      <c r="L52">
        <v>0</v>
      </c>
      <c r="M52">
        <v>0</v>
      </c>
    </row>
    <row r="53" spans="1:13" x14ac:dyDescent="0.25">
      <c r="A53">
        <v>207</v>
      </c>
      <c r="B53" s="33">
        <v>46132</v>
      </c>
      <c r="C53" t="s">
        <v>115</v>
      </c>
      <c r="D53" t="s">
        <v>114</v>
      </c>
      <c r="E53" t="s">
        <v>108</v>
      </c>
      <c r="F53">
        <v>1050</v>
      </c>
      <c r="G53" t="s">
        <v>127</v>
      </c>
      <c r="H53">
        <v>1220</v>
      </c>
      <c r="I53">
        <v>1050</v>
      </c>
      <c r="J53">
        <v>1220</v>
      </c>
      <c r="K53" t="s">
        <v>122</v>
      </c>
      <c r="L53">
        <v>0</v>
      </c>
      <c r="M53">
        <v>0</v>
      </c>
    </row>
    <row r="54" spans="1:13" x14ac:dyDescent="0.25">
      <c r="A54">
        <v>413</v>
      </c>
      <c r="B54" s="33">
        <v>46132</v>
      </c>
      <c r="C54" t="s">
        <v>115</v>
      </c>
      <c r="D54" t="s">
        <v>114</v>
      </c>
      <c r="E54" t="s">
        <v>108</v>
      </c>
      <c r="F54">
        <v>1115</v>
      </c>
      <c r="G54" t="s">
        <v>144</v>
      </c>
      <c r="H54">
        <v>1430</v>
      </c>
      <c r="I54">
        <v>1115</v>
      </c>
      <c r="J54">
        <v>1430</v>
      </c>
      <c r="K54" t="s">
        <v>122</v>
      </c>
      <c r="L54">
        <v>0</v>
      </c>
      <c r="M54">
        <v>0</v>
      </c>
    </row>
    <row r="55" spans="1:13" x14ac:dyDescent="0.25">
      <c r="A55">
        <v>570</v>
      </c>
      <c r="B55" s="33">
        <v>46132</v>
      </c>
      <c r="C55" t="s">
        <v>115</v>
      </c>
      <c r="D55" t="s">
        <v>114</v>
      </c>
      <c r="E55" t="s">
        <v>108</v>
      </c>
      <c r="F55">
        <v>1125</v>
      </c>
      <c r="G55" t="s">
        <v>155</v>
      </c>
      <c r="H55">
        <v>1240</v>
      </c>
      <c r="I55">
        <v>1125</v>
      </c>
      <c r="J55">
        <v>1240</v>
      </c>
      <c r="K55" t="s">
        <v>122</v>
      </c>
      <c r="L55">
        <v>0</v>
      </c>
      <c r="M55">
        <v>0</v>
      </c>
    </row>
    <row r="56" spans="1:13" x14ac:dyDescent="0.25">
      <c r="A56">
        <v>132</v>
      </c>
      <c r="B56" s="33">
        <v>46132</v>
      </c>
      <c r="C56" t="s">
        <v>115</v>
      </c>
      <c r="D56" t="s">
        <v>129</v>
      </c>
      <c r="E56" t="s">
        <v>108</v>
      </c>
      <c r="F56">
        <v>1135</v>
      </c>
      <c r="G56" t="s">
        <v>126</v>
      </c>
      <c r="H56">
        <v>1310</v>
      </c>
      <c r="I56">
        <v>1135</v>
      </c>
      <c r="J56">
        <v>1310</v>
      </c>
      <c r="K56" t="s">
        <v>122</v>
      </c>
      <c r="L56">
        <v>0</v>
      </c>
      <c r="M56">
        <v>0</v>
      </c>
    </row>
    <row r="57" spans="1:13" x14ac:dyDescent="0.25">
      <c r="A57">
        <v>106</v>
      </c>
      <c r="B57" s="33">
        <v>46132</v>
      </c>
      <c r="C57" t="s">
        <v>115</v>
      </c>
      <c r="D57" t="s">
        <v>114</v>
      </c>
      <c r="E57" t="s">
        <v>108</v>
      </c>
      <c r="F57">
        <v>1140</v>
      </c>
      <c r="G57" t="s">
        <v>125</v>
      </c>
      <c r="H57">
        <v>1300</v>
      </c>
      <c r="I57">
        <v>1140</v>
      </c>
      <c r="J57">
        <v>1300</v>
      </c>
      <c r="K57" t="s">
        <v>122</v>
      </c>
      <c r="L57">
        <v>0</v>
      </c>
      <c r="M57">
        <v>0</v>
      </c>
    </row>
    <row r="58" spans="1:13" x14ac:dyDescent="0.25">
      <c r="A58">
        <v>630</v>
      </c>
      <c r="B58" s="33">
        <v>46132</v>
      </c>
      <c r="C58" t="s">
        <v>115</v>
      </c>
      <c r="D58" t="s">
        <v>114</v>
      </c>
      <c r="E58" t="s">
        <v>108</v>
      </c>
      <c r="F58">
        <v>1145</v>
      </c>
      <c r="G58" t="s">
        <v>163</v>
      </c>
      <c r="H58">
        <v>1615</v>
      </c>
      <c r="I58">
        <v>1145</v>
      </c>
      <c r="J58">
        <v>1615</v>
      </c>
      <c r="K58" t="s">
        <v>122</v>
      </c>
      <c r="L58">
        <v>0</v>
      </c>
      <c r="M58">
        <v>0</v>
      </c>
    </row>
    <row r="59" spans="1:13" x14ac:dyDescent="0.25">
      <c r="A59">
        <v>4</v>
      </c>
      <c r="B59" s="33">
        <v>46132</v>
      </c>
      <c r="C59" t="s">
        <v>115</v>
      </c>
      <c r="D59" t="s">
        <v>114</v>
      </c>
      <c r="E59" t="s">
        <v>108</v>
      </c>
      <c r="F59">
        <v>1215</v>
      </c>
      <c r="G59" t="s">
        <v>121</v>
      </c>
      <c r="H59">
        <v>1325</v>
      </c>
      <c r="I59">
        <v>1215</v>
      </c>
      <c r="J59">
        <v>1325</v>
      </c>
      <c r="K59" t="s">
        <v>122</v>
      </c>
      <c r="L59">
        <v>0</v>
      </c>
      <c r="M59">
        <v>0</v>
      </c>
    </row>
    <row r="60" spans="1:13" x14ac:dyDescent="0.25">
      <c r="A60">
        <v>922</v>
      </c>
      <c r="B60" s="33">
        <v>46132</v>
      </c>
      <c r="C60" t="s">
        <v>115</v>
      </c>
      <c r="D60" t="s">
        <v>118</v>
      </c>
      <c r="E60" t="s">
        <v>108</v>
      </c>
      <c r="F60">
        <v>1225</v>
      </c>
      <c r="G60" t="s">
        <v>175</v>
      </c>
      <c r="H60">
        <v>1900</v>
      </c>
      <c r="I60">
        <v>1225</v>
      </c>
      <c r="J60">
        <v>1900</v>
      </c>
      <c r="K60" t="s">
        <v>122</v>
      </c>
      <c r="L60">
        <v>0</v>
      </c>
      <c r="M60">
        <v>0</v>
      </c>
    </row>
    <row r="61" spans="1:13" x14ac:dyDescent="0.25">
      <c r="A61">
        <v>263</v>
      </c>
      <c r="B61" s="33">
        <v>46132</v>
      </c>
      <c r="C61" t="s">
        <v>115</v>
      </c>
      <c r="D61" t="s">
        <v>114</v>
      </c>
      <c r="E61" t="s">
        <v>108</v>
      </c>
      <c r="F61">
        <v>1230</v>
      </c>
      <c r="G61" t="s">
        <v>130</v>
      </c>
      <c r="H61">
        <v>1400</v>
      </c>
      <c r="I61">
        <v>1230</v>
      </c>
      <c r="J61">
        <v>1400</v>
      </c>
      <c r="K61" t="s">
        <v>122</v>
      </c>
      <c r="L61">
        <v>0</v>
      </c>
      <c r="M61">
        <v>0</v>
      </c>
    </row>
    <row r="62" spans="1:13" x14ac:dyDescent="0.25">
      <c r="A62">
        <v>916</v>
      </c>
      <c r="B62" s="33">
        <v>46132</v>
      </c>
      <c r="C62" t="s">
        <v>115</v>
      </c>
      <c r="D62" t="s">
        <v>118</v>
      </c>
      <c r="E62" t="s">
        <v>108</v>
      </c>
      <c r="F62">
        <v>1235</v>
      </c>
      <c r="G62" t="s">
        <v>174</v>
      </c>
      <c r="H62">
        <v>1915</v>
      </c>
      <c r="I62">
        <v>1235</v>
      </c>
      <c r="J62">
        <v>1915</v>
      </c>
      <c r="K62" t="s">
        <v>122</v>
      </c>
      <c r="L62">
        <v>0</v>
      </c>
      <c r="M62">
        <v>0</v>
      </c>
    </row>
    <row r="63" spans="1:13" x14ac:dyDescent="0.25">
      <c r="A63">
        <v>439</v>
      </c>
      <c r="B63" s="33">
        <v>46132</v>
      </c>
      <c r="C63" t="s">
        <v>115</v>
      </c>
      <c r="D63" t="s">
        <v>114</v>
      </c>
      <c r="E63" t="s">
        <v>108</v>
      </c>
      <c r="F63">
        <v>1240</v>
      </c>
      <c r="G63" t="s">
        <v>147</v>
      </c>
      <c r="H63">
        <v>1800</v>
      </c>
      <c r="I63">
        <v>1240</v>
      </c>
      <c r="J63">
        <v>1800</v>
      </c>
      <c r="K63" t="s">
        <v>122</v>
      </c>
      <c r="L63">
        <v>0</v>
      </c>
      <c r="M63">
        <v>0</v>
      </c>
    </row>
    <row r="64" spans="1:13" x14ac:dyDescent="0.25">
      <c r="A64">
        <v>634</v>
      </c>
      <c r="B64" s="33">
        <v>46132</v>
      </c>
      <c r="C64" t="s">
        <v>115</v>
      </c>
      <c r="D64" t="s">
        <v>142</v>
      </c>
      <c r="E64" t="s">
        <v>108</v>
      </c>
      <c r="F64">
        <v>1240</v>
      </c>
      <c r="G64" t="s">
        <v>164</v>
      </c>
      <c r="H64">
        <v>1720</v>
      </c>
      <c r="I64">
        <v>1240</v>
      </c>
      <c r="J64">
        <v>1720</v>
      </c>
      <c r="K64" t="s">
        <v>122</v>
      </c>
      <c r="L64">
        <v>0</v>
      </c>
      <c r="M64">
        <v>0</v>
      </c>
    </row>
    <row r="65" spans="1:13" x14ac:dyDescent="0.25">
      <c r="A65">
        <v>660</v>
      </c>
      <c r="B65" s="33">
        <v>46132</v>
      </c>
      <c r="C65" t="s">
        <v>115</v>
      </c>
      <c r="D65">
        <v>359</v>
      </c>
      <c r="E65" t="s">
        <v>108</v>
      </c>
      <c r="F65">
        <v>1300</v>
      </c>
      <c r="G65" t="s">
        <v>169</v>
      </c>
      <c r="H65">
        <v>2110</v>
      </c>
      <c r="I65">
        <v>1300</v>
      </c>
      <c r="J65">
        <v>2110</v>
      </c>
      <c r="K65" t="s">
        <v>122</v>
      </c>
      <c r="L65">
        <v>0</v>
      </c>
      <c r="M65">
        <v>0</v>
      </c>
    </row>
    <row r="66" spans="1:13" x14ac:dyDescent="0.25">
      <c r="A66">
        <v>110</v>
      </c>
      <c r="B66" s="33">
        <v>46132</v>
      </c>
      <c r="C66" t="s">
        <v>115</v>
      </c>
      <c r="D66" t="s">
        <v>114</v>
      </c>
      <c r="E66" t="s">
        <v>108</v>
      </c>
      <c r="F66">
        <v>1330</v>
      </c>
      <c r="G66" t="s">
        <v>125</v>
      </c>
      <c r="H66">
        <v>1450</v>
      </c>
      <c r="I66">
        <v>1330</v>
      </c>
      <c r="J66">
        <v>1450</v>
      </c>
      <c r="K66" t="s">
        <v>122</v>
      </c>
      <c r="L66">
        <v>0</v>
      </c>
      <c r="M66">
        <v>0</v>
      </c>
    </row>
    <row r="67" spans="1:13" x14ac:dyDescent="0.25">
      <c r="A67">
        <v>407</v>
      </c>
      <c r="B67" s="33">
        <v>46132</v>
      </c>
      <c r="C67" t="s">
        <v>115</v>
      </c>
      <c r="D67" t="s">
        <v>129</v>
      </c>
      <c r="E67" t="s">
        <v>108</v>
      </c>
      <c r="F67">
        <v>1350</v>
      </c>
      <c r="G67" t="s">
        <v>144</v>
      </c>
      <c r="H67">
        <v>1705</v>
      </c>
      <c r="I67">
        <v>1350</v>
      </c>
      <c r="J67">
        <v>1705</v>
      </c>
      <c r="K67" t="s">
        <v>122</v>
      </c>
      <c r="L67">
        <v>0</v>
      </c>
      <c r="M67">
        <v>0</v>
      </c>
    </row>
    <row r="68" spans="1:13" x14ac:dyDescent="0.25">
      <c r="A68">
        <v>211</v>
      </c>
      <c r="B68" s="33">
        <v>46132</v>
      </c>
      <c r="C68" t="s">
        <v>115</v>
      </c>
      <c r="D68" t="s">
        <v>114</v>
      </c>
      <c r="E68" t="s">
        <v>108</v>
      </c>
      <c r="F68">
        <v>1355</v>
      </c>
      <c r="G68" t="s">
        <v>127</v>
      </c>
      <c r="H68">
        <v>1525</v>
      </c>
      <c r="I68">
        <v>1355</v>
      </c>
      <c r="J68">
        <v>1525</v>
      </c>
      <c r="K68" t="s">
        <v>122</v>
      </c>
      <c r="L68">
        <v>0</v>
      </c>
      <c r="M68">
        <v>0</v>
      </c>
    </row>
    <row r="69" spans="1:13" x14ac:dyDescent="0.25">
      <c r="A69">
        <v>638</v>
      </c>
      <c r="B69" s="33">
        <v>46132</v>
      </c>
      <c r="C69" t="s">
        <v>115</v>
      </c>
      <c r="D69" t="s">
        <v>118</v>
      </c>
      <c r="E69" t="s">
        <v>108</v>
      </c>
      <c r="F69">
        <v>1400</v>
      </c>
      <c r="G69" t="s">
        <v>157</v>
      </c>
      <c r="H69">
        <v>1745</v>
      </c>
      <c r="I69">
        <v>1400</v>
      </c>
      <c r="J69">
        <v>1745</v>
      </c>
      <c r="K69" t="s">
        <v>122</v>
      </c>
      <c r="L69">
        <v>0</v>
      </c>
      <c r="M69">
        <v>0</v>
      </c>
    </row>
    <row r="70" spans="1:13" x14ac:dyDescent="0.25">
      <c r="A70">
        <v>44</v>
      </c>
      <c r="B70" s="33">
        <v>46132</v>
      </c>
      <c r="C70" t="s">
        <v>115</v>
      </c>
      <c r="D70" t="s">
        <v>114</v>
      </c>
      <c r="E70" t="s">
        <v>108</v>
      </c>
      <c r="F70">
        <v>1410</v>
      </c>
      <c r="G70" t="s">
        <v>124</v>
      </c>
      <c r="H70">
        <v>1510</v>
      </c>
      <c r="I70">
        <v>1410</v>
      </c>
      <c r="J70">
        <v>1510</v>
      </c>
      <c r="K70" t="s">
        <v>122</v>
      </c>
      <c r="L70">
        <v>0</v>
      </c>
      <c r="M70">
        <v>0</v>
      </c>
    </row>
    <row r="71" spans="1:13" x14ac:dyDescent="0.25">
      <c r="A71">
        <v>435</v>
      </c>
      <c r="B71" s="33">
        <v>46132</v>
      </c>
      <c r="C71" t="s">
        <v>115</v>
      </c>
      <c r="D71">
        <v>359</v>
      </c>
      <c r="E71" t="s">
        <v>108</v>
      </c>
      <c r="F71">
        <v>1420</v>
      </c>
      <c r="G71" t="s">
        <v>148</v>
      </c>
      <c r="H71">
        <v>1755</v>
      </c>
      <c r="I71">
        <v>1420</v>
      </c>
      <c r="J71">
        <v>1755</v>
      </c>
      <c r="K71" t="s">
        <v>122</v>
      </c>
      <c r="L71">
        <v>0</v>
      </c>
      <c r="M71">
        <v>0</v>
      </c>
    </row>
    <row r="72" spans="1:13" x14ac:dyDescent="0.25">
      <c r="A72">
        <v>624</v>
      </c>
      <c r="B72" s="33">
        <v>46132</v>
      </c>
      <c r="C72" t="s">
        <v>115</v>
      </c>
      <c r="D72" t="s">
        <v>114</v>
      </c>
      <c r="E72" t="s">
        <v>108</v>
      </c>
      <c r="F72">
        <v>1420</v>
      </c>
      <c r="G72" t="s">
        <v>161</v>
      </c>
      <c r="H72">
        <v>1845</v>
      </c>
      <c r="I72">
        <v>1420</v>
      </c>
      <c r="J72">
        <v>1845</v>
      </c>
      <c r="K72" t="s">
        <v>122</v>
      </c>
      <c r="L72">
        <v>0</v>
      </c>
      <c r="M72">
        <v>0</v>
      </c>
    </row>
    <row r="73" spans="1:13" x14ac:dyDescent="0.25">
      <c r="A73">
        <v>215</v>
      </c>
      <c r="B73" s="33">
        <v>46132</v>
      </c>
      <c r="C73" t="s">
        <v>115</v>
      </c>
      <c r="D73" t="s">
        <v>114</v>
      </c>
      <c r="E73" t="s">
        <v>108</v>
      </c>
      <c r="F73">
        <v>1445</v>
      </c>
      <c r="G73" t="s">
        <v>127</v>
      </c>
      <c r="H73">
        <v>1615</v>
      </c>
      <c r="I73">
        <v>1445</v>
      </c>
      <c r="J73">
        <v>1615</v>
      </c>
      <c r="K73" t="s">
        <v>122</v>
      </c>
      <c r="L73">
        <v>0</v>
      </c>
      <c r="M73">
        <v>0</v>
      </c>
    </row>
    <row r="74" spans="1:13" x14ac:dyDescent="0.25">
      <c r="A74">
        <v>112</v>
      </c>
      <c r="B74" s="33">
        <v>46132</v>
      </c>
      <c r="C74" t="s">
        <v>115</v>
      </c>
      <c r="D74" t="s">
        <v>114</v>
      </c>
      <c r="E74" t="s">
        <v>108</v>
      </c>
      <c r="F74">
        <v>1455</v>
      </c>
      <c r="G74" t="s">
        <v>125</v>
      </c>
      <c r="H74">
        <v>1615</v>
      </c>
      <c r="I74">
        <v>1455</v>
      </c>
      <c r="J74">
        <v>1615</v>
      </c>
      <c r="K74" t="s">
        <v>122</v>
      </c>
      <c r="L74">
        <v>0</v>
      </c>
      <c r="M74">
        <v>0</v>
      </c>
    </row>
    <row r="75" spans="1:13" x14ac:dyDescent="0.25">
      <c r="A75">
        <v>28</v>
      </c>
      <c r="B75" s="33">
        <v>46132</v>
      </c>
      <c r="C75" t="s">
        <v>115</v>
      </c>
      <c r="D75" t="s">
        <v>114</v>
      </c>
      <c r="E75" t="s">
        <v>108</v>
      </c>
      <c r="F75">
        <v>1600</v>
      </c>
      <c r="G75" t="s">
        <v>123</v>
      </c>
      <c r="H75">
        <v>1710</v>
      </c>
      <c r="I75">
        <v>1600</v>
      </c>
      <c r="J75">
        <v>1710</v>
      </c>
      <c r="K75" t="s">
        <v>122</v>
      </c>
      <c r="L75">
        <v>0</v>
      </c>
      <c r="M75">
        <v>0</v>
      </c>
    </row>
    <row r="76" spans="1:13" x14ac:dyDescent="0.25">
      <c r="A76">
        <v>409</v>
      </c>
      <c r="B76" s="33">
        <v>46132</v>
      </c>
      <c r="C76" t="s">
        <v>115</v>
      </c>
      <c r="D76">
        <v>359</v>
      </c>
      <c r="E76" t="s">
        <v>108</v>
      </c>
      <c r="F76">
        <v>1625</v>
      </c>
      <c r="G76" t="s">
        <v>144</v>
      </c>
      <c r="H76">
        <v>1940</v>
      </c>
      <c r="I76">
        <v>1625</v>
      </c>
      <c r="J76">
        <v>1940</v>
      </c>
      <c r="K76" t="s">
        <v>122</v>
      </c>
      <c r="L76">
        <v>0</v>
      </c>
      <c r="M76">
        <v>0</v>
      </c>
    </row>
    <row r="77" spans="1:13" x14ac:dyDescent="0.25">
      <c r="A77">
        <v>417</v>
      </c>
      <c r="B77" s="33">
        <v>46132</v>
      </c>
      <c r="C77" t="s">
        <v>115</v>
      </c>
      <c r="D77" t="s">
        <v>116</v>
      </c>
      <c r="E77" t="s">
        <v>108</v>
      </c>
      <c r="F77">
        <v>1640</v>
      </c>
      <c r="G77" t="s">
        <v>145</v>
      </c>
      <c r="H77">
        <v>1950</v>
      </c>
      <c r="I77">
        <v>1640</v>
      </c>
      <c r="J77">
        <v>1950</v>
      </c>
      <c r="K77" t="s">
        <v>122</v>
      </c>
      <c r="L77">
        <v>0</v>
      </c>
      <c r="M77">
        <v>0</v>
      </c>
    </row>
    <row r="78" spans="1:13" x14ac:dyDescent="0.25">
      <c r="A78">
        <v>136</v>
      </c>
      <c r="B78" s="33">
        <v>46132</v>
      </c>
      <c r="C78" t="s">
        <v>115</v>
      </c>
      <c r="D78" t="s">
        <v>114</v>
      </c>
      <c r="E78" t="s">
        <v>108</v>
      </c>
      <c r="F78">
        <v>1700</v>
      </c>
      <c r="G78" t="s">
        <v>126</v>
      </c>
      <c r="H78">
        <v>1820</v>
      </c>
      <c r="I78">
        <v>1700</v>
      </c>
      <c r="J78">
        <v>1820</v>
      </c>
      <c r="K78" t="s">
        <v>122</v>
      </c>
      <c r="L78">
        <v>0</v>
      </c>
      <c r="M78">
        <v>0</v>
      </c>
    </row>
    <row r="79" spans="1:13" x14ac:dyDescent="0.25">
      <c r="A79">
        <v>217</v>
      </c>
      <c r="B79" s="33">
        <v>46132</v>
      </c>
      <c r="C79" t="s">
        <v>115</v>
      </c>
      <c r="D79" t="s">
        <v>114</v>
      </c>
      <c r="E79" t="s">
        <v>108</v>
      </c>
      <c r="F79">
        <v>1705</v>
      </c>
      <c r="G79" t="s">
        <v>127</v>
      </c>
      <c r="H79">
        <v>1835</v>
      </c>
      <c r="I79">
        <v>1705</v>
      </c>
      <c r="J79">
        <v>1835</v>
      </c>
      <c r="K79" t="s">
        <v>122</v>
      </c>
      <c r="L79">
        <v>0</v>
      </c>
      <c r="M79">
        <v>0</v>
      </c>
    </row>
    <row r="80" spans="1:13" x14ac:dyDescent="0.25">
      <c r="A80">
        <v>303</v>
      </c>
      <c r="B80" s="33">
        <v>46132</v>
      </c>
      <c r="C80" t="s">
        <v>115</v>
      </c>
      <c r="D80" t="s">
        <v>114</v>
      </c>
      <c r="E80" t="s">
        <v>108</v>
      </c>
      <c r="F80">
        <v>1705</v>
      </c>
      <c r="G80" t="s">
        <v>131</v>
      </c>
      <c r="H80">
        <v>1800</v>
      </c>
      <c r="I80">
        <v>1705</v>
      </c>
      <c r="J80">
        <v>1800</v>
      </c>
      <c r="K80" t="s">
        <v>122</v>
      </c>
      <c r="L80">
        <v>0</v>
      </c>
      <c r="M80">
        <v>0</v>
      </c>
    </row>
    <row r="81" spans="1:13" x14ac:dyDescent="0.25">
      <c r="A81">
        <v>636</v>
      </c>
      <c r="B81" s="33">
        <v>46132</v>
      </c>
      <c r="C81" t="s">
        <v>115</v>
      </c>
      <c r="D81" t="s">
        <v>129</v>
      </c>
      <c r="E81" t="s">
        <v>108</v>
      </c>
      <c r="F81">
        <v>1715</v>
      </c>
      <c r="G81" t="s">
        <v>164</v>
      </c>
      <c r="H81">
        <v>2210</v>
      </c>
      <c r="I81">
        <v>1715</v>
      </c>
      <c r="J81">
        <v>2210</v>
      </c>
      <c r="K81" t="s">
        <v>122</v>
      </c>
      <c r="L81">
        <v>0</v>
      </c>
      <c r="M81">
        <v>0</v>
      </c>
    </row>
    <row r="82" spans="1:13" x14ac:dyDescent="0.25">
      <c r="A82">
        <v>46</v>
      </c>
      <c r="B82" s="33">
        <v>46132</v>
      </c>
      <c r="C82" t="s">
        <v>115</v>
      </c>
      <c r="D82" t="s">
        <v>114</v>
      </c>
      <c r="E82" t="s">
        <v>108</v>
      </c>
      <c r="F82">
        <v>1735</v>
      </c>
      <c r="G82" t="s">
        <v>124</v>
      </c>
      <c r="H82">
        <v>1835</v>
      </c>
      <c r="I82">
        <v>1735</v>
      </c>
      <c r="J82">
        <v>1835</v>
      </c>
      <c r="K82" t="s">
        <v>122</v>
      </c>
      <c r="L82">
        <v>0</v>
      </c>
      <c r="M82">
        <v>0</v>
      </c>
    </row>
    <row r="83" spans="1:13" x14ac:dyDescent="0.25">
      <c r="A83">
        <v>556</v>
      </c>
      <c r="B83" s="33">
        <v>46132</v>
      </c>
      <c r="C83" t="s">
        <v>115</v>
      </c>
      <c r="D83" t="s">
        <v>114</v>
      </c>
      <c r="E83" t="s">
        <v>108</v>
      </c>
      <c r="F83">
        <v>1735</v>
      </c>
      <c r="G83" t="s">
        <v>153</v>
      </c>
      <c r="H83">
        <v>1905</v>
      </c>
      <c r="I83">
        <v>1735</v>
      </c>
      <c r="J83">
        <v>1905</v>
      </c>
      <c r="K83" t="s">
        <v>122</v>
      </c>
      <c r="L83">
        <v>0</v>
      </c>
      <c r="M83">
        <v>0</v>
      </c>
    </row>
    <row r="84" spans="1:13" x14ac:dyDescent="0.25">
      <c r="A84">
        <v>564</v>
      </c>
      <c r="B84" s="33">
        <v>46132</v>
      </c>
      <c r="C84" t="s">
        <v>115</v>
      </c>
      <c r="D84" t="s">
        <v>114</v>
      </c>
      <c r="E84" t="s">
        <v>108</v>
      </c>
      <c r="F84">
        <v>1750</v>
      </c>
      <c r="G84" t="s">
        <v>154</v>
      </c>
      <c r="H84">
        <v>1940</v>
      </c>
      <c r="I84">
        <v>1750</v>
      </c>
      <c r="J84">
        <v>1940</v>
      </c>
      <c r="K84" t="s">
        <v>122</v>
      </c>
      <c r="L84">
        <v>0</v>
      </c>
      <c r="M84">
        <v>0</v>
      </c>
    </row>
    <row r="85" spans="1:13" x14ac:dyDescent="0.25">
      <c r="A85">
        <v>602</v>
      </c>
      <c r="B85" s="33">
        <v>46132</v>
      </c>
      <c r="C85" t="s">
        <v>115</v>
      </c>
      <c r="D85" t="s">
        <v>114</v>
      </c>
      <c r="E85" t="s">
        <v>108</v>
      </c>
      <c r="F85">
        <v>1810</v>
      </c>
      <c r="G85" t="s">
        <v>157</v>
      </c>
      <c r="H85">
        <v>2200</v>
      </c>
      <c r="I85">
        <v>1810</v>
      </c>
      <c r="J85">
        <v>2200</v>
      </c>
      <c r="K85" t="s">
        <v>122</v>
      </c>
      <c r="L85">
        <v>0</v>
      </c>
      <c r="M85">
        <v>0</v>
      </c>
    </row>
    <row r="86" spans="1:13" x14ac:dyDescent="0.25">
      <c r="A86">
        <v>249</v>
      </c>
      <c r="B86" s="33">
        <v>46132</v>
      </c>
      <c r="C86" t="s">
        <v>115</v>
      </c>
      <c r="D86" t="s">
        <v>114</v>
      </c>
      <c r="E86" t="s">
        <v>108</v>
      </c>
      <c r="F86">
        <v>1825</v>
      </c>
      <c r="G86" t="s">
        <v>128</v>
      </c>
      <c r="H86">
        <v>1945</v>
      </c>
      <c r="I86">
        <v>1825</v>
      </c>
      <c r="J86">
        <v>1945</v>
      </c>
      <c r="K86" t="s">
        <v>122</v>
      </c>
      <c r="L86">
        <v>0</v>
      </c>
      <c r="M86">
        <v>0</v>
      </c>
    </row>
    <row r="87" spans="1:13" x14ac:dyDescent="0.25">
      <c r="A87">
        <v>574</v>
      </c>
      <c r="B87" s="33">
        <v>46132</v>
      </c>
      <c r="C87" t="s">
        <v>115</v>
      </c>
      <c r="D87" t="s">
        <v>114</v>
      </c>
      <c r="E87" t="s">
        <v>108</v>
      </c>
      <c r="F87">
        <v>1825</v>
      </c>
      <c r="G87" t="s">
        <v>155</v>
      </c>
      <c r="H87">
        <v>1945</v>
      </c>
      <c r="I87">
        <v>1825</v>
      </c>
      <c r="J87">
        <v>1945</v>
      </c>
      <c r="K87" t="s">
        <v>122</v>
      </c>
      <c r="L87">
        <v>0</v>
      </c>
      <c r="M87">
        <v>0</v>
      </c>
    </row>
    <row r="88" spans="1:13" x14ac:dyDescent="0.25">
      <c r="A88">
        <v>267</v>
      </c>
      <c r="B88" s="33">
        <v>46132</v>
      </c>
      <c r="C88" t="s">
        <v>115</v>
      </c>
      <c r="D88" t="s">
        <v>114</v>
      </c>
      <c r="E88" t="s">
        <v>108</v>
      </c>
      <c r="F88">
        <v>1830</v>
      </c>
      <c r="G88" t="s">
        <v>130</v>
      </c>
      <c r="H88">
        <v>2000</v>
      </c>
      <c r="I88">
        <v>1830</v>
      </c>
      <c r="J88">
        <v>2000</v>
      </c>
      <c r="K88" t="s">
        <v>122</v>
      </c>
      <c r="L88">
        <v>0</v>
      </c>
      <c r="M88">
        <v>0</v>
      </c>
    </row>
    <row r="89" spans="1:13" x14ac:dyDescent="0.25">
      <c r="A89">
        <v>584</v>
      </c>
      <c r="B89" s="33">
        <v>46132</v>
      </c>
      <c r="C89" t="s">
        <v>115</v>
      </c>
      <c r="D89" t="s">
        <v>114</v>
      </c>
      <c r="E89" t="s">
        <v>108</v>
      </c>
      <c r="F89">
        <v>1835</v>
      </c>
      <c r="G89" t="s">
        <v>156</v>
      </c>
      <c r="H89">
        <v>1955</v>
      </c>
      <c r="I89">
        <v>1835</v>
      </c>
      <c r="J89">
        <v>1955</v>
      </c>
      <c r="K89" t="s">
        <v>122</v>
      </c>
      <c r="L89">
        <v>0</v>
      </c>
      <c r="M89">
        <v>0</v>
      </c>
    </row>
    <row r="90" spans="1:13" x14ac:dyDescent="0.25">
      <c r="A90">
        <v>315</v>
      </c>
      <c r="B90" s="33">
        <v>46132</v>
      </c>
      <c r="C90" t="s">
        <v>115</v>
      </c>
      <c r="D90" t="s">
        <v>118</v>
      </c>
      <c r="E90" t="s">
        <v>108</v>
      </c>
      <c r="F90">
        <v>1850</v>
      </c>
      <c r="G90" t="s">
        <v>135</v>
      </c>
      <c r="H90">
        <v>2150</v>
      </c>
      <c r="I90">
        <v>1850</v>
      </c>
      <c r="J90">
        <v>2150</v>
      </c>
      <c r="K90" t="s">
        <v>122</v>
      </c>
      <c r="L90">
        <v>0</v>
      </c>
      <c r="M90">
        <v>0</v>
      </c>
    </row>
    <row r="91" spans="1:13" x14ac:dyDescent="0.25">
      <c r="A91">
        <v>317</v>
      </c>
      <c r="B91" s="33">
        <v>46132</v>
      </c>
      <c r="C91" t="s">
        <v>115</v>
      </c>
      <c r="D91" t="s">
        <v>107</v>
      </c>
      <c r="E91" t="s">
        <v>108</v>
      </c>
      <c r="F91">
        <v>1855</v>
      </c>
      <c r="G91" t="s">
        <v>136</v>
      </c>
      <c r="H91">
        <v>2155</v>
      </c>
      <c r="I91">
        <v>1855</v>
      </c>
      <c r="J91">
        <v>2155</v>
      </c>
      <c r="K91" t="s">
        <v>122</v>
      </c>
      <c r="L91">
        <v>0</v>
      </c>
      <c r="M91">
        <v>0</v>
      </c>
    </row>
    <row r="92" spans="1:13" x14ac:dyDescent="0.25">
      <c r="A92">
        <v>349</v>
      </c>
      <c r="B92" s="33">
        <v>46132</v>
      </c>
      <c r="C92" t="s">
        <v>115</v>
      </c>
      <c r="D92" t="s">
        <v>142</v>
      </c>
      <c r="E92" t="s">
        <v>108</v>
      </c>
      <c r="F92">
        <v>1900</v>
      </c>
      <c r="G92" t="s">
        <v>192</v>
      </c>
      <c r="H92">
        <v>2210</v>
      </c>
      <c r="I92">
        <v>1900</v>
      </c>
      <c r="J92">
        <v>2210</v>
      </c>
      <c r="K92" t="s">
        <v>122</v>
      </c>
      <c r="L92">
        <v>0</v>
      </c>
      <c r="M92">
        <v>0</v>
      </c>
    </row>
    <row r="93" spans="1:13" x14ac:dyDescent="0.25">
      <c r="A93">
        <v>221</v>
      </c>
      <c r="B93" s="33">
        <v>46132</v>
      </c>
      <c r="C93" t="s">
        <v>115</v>
      </c>
      <c r="D93" t="s">
        <v>114</v>
      </c>
      <c r="E93" t="s">
        <v>108</v>
      </c>
      <c r="F93">
        <v>1910</v>
      </c>
      <c r="G93" t="s">
        <v>127</v>
      </c>
      <c r="H93">
        <v>2040</v>
      </c>
      <c r="I93">
        <v>1910</v>
      </c>
      <c r="J93">
        <v>2040</v>
      </c>
      <c r="K93" t="s">
        <v>122</v>
      </c>
      <c r="L93">
        <v>0</v>
      </c>
      <c r="M93">
        <v>0</v>
      </c>
    </row>
    <row r="94" spans="1:13" x14ac:dyDescent="0.25">
      <c r="A94">
        <v>401</v>
      </c>
      <c r="B94" s="33">
        <v>46132</v>
      </c>
      <c r="C94" t="s">
        <v>115</v>
      </c>
      <c r="D94" t="s">
        <v>143</v>
      </c>
      <c r="E94" t="s">
        <v>108</v>
      </c>
      <c r="F94">
        <v>1910</v>
      </c>
      <c r="G94" t="s">
        <v>144</v>
      </c>
      <c r="H94">
        <v>2230</v>
      </c>
      <c r="I94">
        <v>1910</v>
      </c>
      <c r="J94">
        <v>2230</v>
      </c>
      <c r="K94" t="s">
        <v>122</v>
      </c>
      <c r="L94">
        <v>0</v>
      </c>
      <c r="M94">
        <v>0</v>
      </c>
    </row>
    <row r="95" spans="1:13" x14ac:dyDescent="0.25">
      <c r="A95">
        <v>120</v>
      </c>
      <c r="B95" s="33">
        <v>46132</v>
      </c>
      <c r="C95" t="s">
        <v>115</v>
      </c>
      <c r="D95" t="s">
        <v>114</v>
      </c>
      <c r="E95" t="s">
        <v>108</v>
      </c>
      <c r="F95">
        <v>1915</v>
      </c>
      <c r="G95" t="s">
        <v>125</v>
      </c>
      <c r="H95">
        <v>2030</v>
      </c>
      <c r="I95">
        <v>1915</v>
      </c>
      <c r="J95">
        <v>2030</v>
      </c>
      <c r="K95" t="s">
        <v>122</v>
      </c>
      <c r="L95">
        <v>0</v>
      </c>
      <c r="M95">
        <v>0</v>
      </c>
    </row>
    <row r="96" spans="1:13" x14ac:dyDescent="0.25">
      <c r="A96">
        <v>425</v>
      </c>
      <c r="B96" s="33">
        <v>46132</v>
      </c>
      <c r="C96" t="s">
        <v>115</v>
      </c>
      <c r="D96" t="s">
        <v>114</v>
      </c>
      <c r="E96" t="s">
        <v>108</v>
      </c>
      <c r="F96">
        <v>1920</v>
      </c>
      <c r="G96" t="s">
        <v>146</v>
      </c>
      <c r="H96">
        <v>2210</v>
      </c>
      <c r="I96">
        <v>1920</v>
      </c>
      <c r="J96">
        <v>2210</v>
      </c>
      <c r="K96" t="s">
        <v>122</v>
      </c>
      <c r="L96">
        <v>0</v>
      </c>
      <c r="M96">
        <v>0</v>
      </c>
    </row>
    <row r="97" spans="1:13" x14ac:dyDescent="0.25">
      <c r="A97">
        <v>465</v>
      </c>
      <c r="B97" s="33">
        <v>46132</v>
      </c>
      <c r="C97" t="s">
        <v>115</v>
      </c>
      <c r="D97" t="s">
        <v>119</v>
      </c>
      <c r="E97" t="s">
        <v>108</v>
      </c>
      <c r="F97">
        <v>1940</v>
      </c>
      <c r="G97" t="s">
        <v>149</v>
      </c>
      <c r="H97">
        <v>730</v>
      </c>
      <c r="I97">
        <v>1940</v>
      </c>
      <c r="J97">
        <v>730</v>
      </c>
      <c r="K97" t="s">
        <v>122</v>
      </c>
      <c r="L97">
        <v>0</v>
      </c>
      <c r="M97">
        <v>0</v>
      </c>
    </row>
    <row r="98" spans="1:13" x14ac:dyDescent="0.25">
      <c r="A98">
        <v>8</v>
      </c>
      <c r="B98" s="33">
        <v>46132</v>
      </c>
      <c r="C98" t="s">
        <v>115</v>
      </c>
      <c r="D98" t="s">
        <v>114</v>
      </c>
      <c r="E98" t="s">
        <v>108</v>
      </c>
      <c r="F98">
        <v>1945</v>
      </c>
      <c r="G98" t="s">
        <v>121</v>
      </c>
      <c r="H98">
        <v>2055</v>
      </c>
      <c r="I98">
        <v>1945</v>
      </c>
      <c r="J98">
        <v>2055</v>
      </c>
      <c r="K98" t="s">
        <v>122</v>
      </c>
      <c r="L98">
        <v>0</v>
      </c>
      <c r="M98">
        <v>0</v>
      </c>
    </row>
    <row r="99" spans="1:13" x14ac:dyDescent="0.25">
      <c r="A99">
        <v>345</v>
      </c>
      <c r="B99" s="33">
        <v>46132</v>
      </c>
      <c r="C99" t="s">
        <v>115</v>
      </c>
      <c r="D99">
        <v>788</v>
      </c>
      <c r="E99" t="s">
        <v>108</v>
      </c>
      <c r="F99">
        <v>1950</v>
      </c>
      <c r="G99" t="s">
        <v>184</v>
      </c>
      <c r="H99">
        <v>2230</v>
      </c>
      <c r="I99">
        <v>1950</v>
      </c>
      <c r="J99">
        <v>2230</v>
      </c>
      <c r="K99" t="s">
        <v>122</v>
      </c>
      <c r="L99">
        <v>0</v>
      </c>
      <c r="M99">
        <v>0</v>
      </c>
    </row>
    <row r="100" spans="1:13" x14ac:dyDescent="0.25">
      <c r="A100">
        <v>309</v>
      </c>
      <c r="B100" s="33">
        <v>46132</v>
      </c>
      <c r="C100" t="s">
        <v>115</v>
      </c>
      <c r="D100" t="s">
        <v>114</v>
      </c>
      <c r="E100" t="s">
        <v>108</v>
      </c>
      <c r="F100">
        <v>2050</v>
      </c>
      <c r="G100" t="s">
        <v>133</v>
      </c>
      <c r="H100">
        <v>2300</v>
      </c>
      <c r="I100">
        <v>2050</v>
      </c>
      <c r="J100">
        <v>2300</v>
      </c>
      <c r="K100" t="s">
        <v>122</v>
      </c>
      <c r="L100">
        <v>0</v>
      </c>
      <c r="M100">
        <v>0</v>
      </c>
    </row>
    <row r="101" spans="1:13" x14ac:dyDescent="0.25">
      <c r="A101">
        <v>343</v>
      </c>
      <c r="B101" s="33">
        <v>46132</v>
      </c>
      <c r="C101" t="s">
        <v>115</v>
      </c>
      <c r="D101" t="s">
        <v>114</v>
      </c>
      <c r="E101" t="s">
        <v>108</v>
      </c>
      <c r="F101">
        <v>2100</v>
      </c>
      <c r="G101" t="s">
        <v>141</v>
      </c>
      <c r="H101">
        <v>10</v>
      </c>
      <c r="I101">
        <v>2100</v>
      </c>
      <c r="J101">
        <v>10</v>
      </c>
      <c r="K101" t="s">
        <v>122</v>
      </c>
      <c r="L101">
        <v>0</v>
      </c>
      <c r="M101">
        <v>0</v>
      </c>
    </row>
    <row r="102" spans="1:13" x14ac:dyDescent="0.25">
      <c r="A102">
        <v>307</v>
      </c>
      <c r="B102" s="33">
        <v>46132</v>
      </c>
      <c r="C102" t="s">
        <v>115</v>
      </c>
      <c r="D102" t="s">
        <v>114</v>
      </c>
      <c r="E102" t="s">
        <v>108</v>
      </c>
      <c r="F102">
        <v>2140</v>
      </c>
      <c r="G102" t="s">
        <v>132</v>
      </c>
      <c r="H102">
        <v>2355</v>
      </c>
      <c r="I102">
        <v>2140</v>
      </c>
      <c r="J102">
        <v>2355</v>
      </c>
      <c r="K102" t="s">
        <v>122</v>
      </c>
      <c r="L102">
        <v>0</v>
      </c>
      <c r="M102">
        <v>0</v>
      </c>
    </row>
    <row r="103" spans="1:13" x14ac:dyDescent="0.25">
      <c r="A103">
        <v>325</v>
      </c>
      <c r="B103" s="33">
        <v>46132</v>
      </c>
      <c r="C103" t="s">
        <v>115</v>
      </c>
      <c r="D103">
        <v>359</v>
      </c>
      <c r="E103" t="s">
        <v>108</v>
      </c>
      <c r="F103">
        <v>2150</v>
      </c>
      <c r="G103" t="s">
        <v>138</v>
      </c>
      <c r="H103">
        <v>2355</v>
      </c>
      <c r="I103">
        <v>2150</v>
      </c>
      <c r="J103">
        <v>2355</v>
      </c>
      <c r="K103" t="s">
        <v>122</v>
      </c>
      <c r="L103">
        <v>0</v>
      </c>
      <c r="M103">
        <v>0</v>
      </c>
    </row>
    <row r="104" spans="1:13" x14ac:dyDescent="0.25">
      <c r="A104">
        <v>329</v>
      </c>
      <c r="B104" s="33">
        <v>46132</v>
      </c>
      <c r="C104" t="s">
        <v>115</v>
      </c>
      <c r="D104" t="s">
        <v>117</v>
      </c>
      <c r="E104" t="s">
        <v>108</v>
      </c>
      <c r="F104">
        <v>2150</v>
      </c>
      <c r="G104" t="s">
        <v>139</v>
      </c>
      <c r="H104">
        <v>2350</v>
      </c>
      <c r="I104">
        <v>2150</v>
      </c>
      <c r="J104">
        <v>2350</v>
      </c>
      <c r="K104" t="s">
        <v>122</v>
      </c>
      <c r="L104">
        <v>0</v>
      </c>
      <c r="M104">
        <v>0</v>
      </c>
    </row>
    <row r="105" spans="1:13" x14ac:dyDescent="0.25">
      <c r="A105">
        <v>337</v>
      </c>
      <c r="B105" s="33">
        <v>46132</v>
      </c>
      <c r="C105" t="s">
        <v>115</v>
      </c>
      <c r="D105" t="s">
        <v>117</v>
      </c>
      <c r="E105" t="s">
        <v>108</v>
      </c>
      <c r="F105">
        <v>2155</v>
      </c>
      <c r="G105" t="s">
        <v>140</v>
      </c>
      <c r="H105">
        <v>2345</v>
      </c>
      <c r="I105">
        <v>2155</v>
      </c>
      <c r="J105">
        <v>2345</v>
      </c>
      <c r="K105" t="s">
        <v>122</v>
      </c>
      <c r="L105">
        <v>0</v>
      </c>
      <c r="M105">
        <v>0</v>
      </c>
    </row>
    <row r="106" spans="1:13" x14ac:dyDescent="0.25">
      <c r="A106">
        <v>640</v>
      </c>
      <c r="B106" s="33">
        <v>46132</v>
      </c>
      <c r="C106" t="s">
        <v>115</v>
      </c>
      <c r="D106" t="s">
        <v>143</v>
      </c>
      <c r="E106" t="s">
        <v>108</v>
      </c>
      <c r="F106">
        <v>2210</v>
      </c>
      <c r="G106" t="s">
        <v>165</v>
      </c>
      <c r="H106">
        <v>620</v>
      </c>
      <c r="I106">
        <v>2210</v>
      </c>
      <c r="J106">
        <v>620</v>
      </c>
      <c r="K106" t="s">
        <v>122</v>
      </c>
      <c r="L106">
        <v>0</v>
      </c>
      <c r="M106">
        <v>0</v>
      </c>
    </row>
    <row r="107" spans="1:13" x14ac:dyDescent="0.25">
      <c r="A107">
        <v>471</v>
      </c>
      <c r="B107" s="33">
        <v>46132</v>
      </c>
      <c r="C107" t="s">
        <v>115</v>
      </c>
      <c r="D107" t="s">
        <v>119</v>
      </c>
      <c r="E107" t="s">
        <v>108</v>
      </c>
      <c r="F107">
        <v>2220</v>
      </c>
      <c r="G107" t="s">
        <v>150</v>
      </c>
      <c r="H107">
        <v>1020</v>
      </c>
      <c r="I107">
        <v>2220</v>
      </c>
      <c r="J107">
        <v>1020</v>
      </c>
      <c r="K107" t="s">
        <v>122</v>
      </c>
      <c r="L107">
        <v>0</v>
      </c>
      <c r="M107">
        <v>0</v>
      </c>
    </row>
    <row r="108" spans="1:13" x14ac:dyDescent="0.25">
      <c r="A108">
        <v>351</v>
      </c>
      <c r="B108" s="33">
        <v>46132</v>
      </c>
      <c r="C108" t="s">
        <v>115</v>
      </c>
      <c r="D108" t="s">
        <v>114</v>
      </c>
      <c r="E108" t="s">
        <v>108</v>
      </c>
      <c r="F108">
        <v>2230</v>
      </c>
      <c r="G108" t="s">
        <v>136</v>
      </c>
      <c r="H108">
        <v>130</v>
      </c>
      <c r="I108">
        <v>2230</v>
      </c>
      <c r="J108">
        <v>130</v>
      </c>
      <c r="K108" t="s">
        <v>122</v>
      </c>
      <c r="L108">
        <v>0</v>
      </c>
      <c r="M108">
        <v>0</v>
      </c>
    </row>
    <row r="109" spans="1:13" x14ac:dyDescent="0.25">
      <c r="A109">
        <v>682</v>
      </c>
      <c r="B109" s="33">
        <v>46132</v>
      </c>
      <c r="C109" t="s">
        <v>115</v>
      </c>
      <c r="D109" t="s">
        <v>118</v>
      </c>
      <c r="E109" t="s">
        <v>108</v>
      </c>
      <c r="F109">
        <v>2245</v>
      </c>
      <c r="G109" t="s">
        <v>169</v>
      </c>
      <c r="H109">
        <v>655</v>
      </c>
      <c r="I109">
        <v>2245</v>
      </c>
      <c r="J109">
        <v>655</v>
      </c>
      <c r="K109" t="s">
        <v>122</v>
      </c>
      <c r="L109">
        <v>0</v>
      </c>
      <c r="M109">
        <v>0</v>
      </c>
    </row>
    <row r="110" spans="1:13" x14ac:dyDescent="0.25">
      <c r="A110">
        <v>658</v>
      </c>
      <c r="B110" s="33">
        <v>46132</v>
      </c>
      <c r="C110" t="s">
        <v>115</v>
      </c>
      <c r="D110">
        <v>359</v>
      </c>
      <c r="E110" t="s">
        <v>108</v>
      </c>
      <c r="F110">
        <v>2310</v>
      </c>
      <c r="G110" t="s">
        <v>168</v>
      </c>
      <c r="H110">
        <v>635</v>
      </c>
      <c r="I110">
        <v>2310</v>
      </c>
      <c r="J110">
        <v>635</v>
      </c>
      <c r="K110" t="s">
        <v>122</v>
      </c>
      <c r="L110">
        <v>0</v>
      </c>
      <c r="M110">
        <v>0</v>
      </c>
    </row>
    <row r="111" spans="1:13" x14ac:dyDescent="0.25">
      <c r="A111">
        <v>331</v>
      </c>
      <c r="B111" s="33">
        <v>46132</v>
      </c>
      <c r="C111" t="s">
        <v>115</v>
      </c>
      <c r="D111" t="s">
        <v>114</v>
      </c>
      <c r="E111" t="s">
        <v>108</v>
      </c>
      <c r="F111">
        <v>2315</v>
      </c>
      <c r="G111" t="s">
        <v>135</v>
      </c>
      <c r="H111">
        <v>215</v>
      </c>
      <c r="I111">
        <v>2315</v>
      </c>
      <c r="J111">
        <v>215</v>
      </c>
      <c r="K111" t="s">
        <v>122</v>
      </c>
      <c r="L111">
        <v>0</v>
      </c>
      <c r="M111">
        <v>0</v>
      </c>
    </row>
    <row r="112" spans="1:13" x14ac:dyDescent="0.25">
      <c r="A112">
        <v>656</v>
      </c>
      <c r="B112" s="33">
        <v>46132</v>
      </c>
      <c r="C112" t="s">
        <v>115</v>
      </c>
      <c r="D112">
        <v>359</v>
      </c>
      <c r="E112" t="s">
        <v>108</v>
      </c>
      <c r="F112">
        <v>2330</v>
      </c>
      <c r="G112" t="s">
        <v>168</v>
      </c>
      <c r="H112">
        <v>655</v>
      </c>
      <c r="I112">
        <v>2330</v>
      </c>
      <c r="J112">
        <v>655</v>
      </c>
      <c r="K112" t="s">
        <v>122</v>
      </c>
      <c r="L112">
        <v>0</v>
      </c>
      <c r="M112">
        <v>0</v>
      </c>
    </row>
    <row r="113" spans="1:13" x14ac:dyDescent="0.25">
      <c r="A113">
        <v>900</v>
      </c>
      <c r="B113" s="33">
        <v>46132</v>
      </c>
      <c r="C113" t="s">
        <v>115</v>
      </c>
      <c r="D113" t="s">
        <v>151</v>
      </c>
      <c r="E113" t="s">
        <v>108</v>
      </c>
      <c r="F113">
        <v>2335</v>
      </c>
      <c r="G113" t="s">
        <v>173</v>
      </c>
      <c r="H113">
        <v>535</v>
      </c>
      <c r="I113">
        <v>2335</v>
      </c>
      <c r="J113">
        <v>535</v>
      </c>
      <c r="K113" t="s">
        <v>122</v>
      </c>
      <c r="L113">
        <v>0</v>
      </c>
      <c r="M113">
        <v>0</v>
      </c>
    </row>
    <row r="114" spans="1:13" x14ac:dyDescent="0.25">
      <c r="A114">
        <v>313</v>
      </c>
      <c r="B114" s="33">
        <v>46132</v>
      </c>
      <c r="C114" t="s">
        <v>115</v>
      </c>
      <c r="D114" t="s">
        <v>114</v>
      </c>
      <c r="E114" t="s">
        <v>108</v>
      </c>
      <c r="F114">
        <v>2345</v>
      </c>
      <c r="G114" t="s">
        <v>134</v>
      </c>
      <c r="H114">
        <v>45</v>
      </c>
      <c r="I114">
        <v>2345</v>
      </c>
      <c r="J114">
        <v>45</v>
      </c>
      <c r="K114" t="s">
        <v>122</v>
      </c>
      <c r="L114">
        <v>0</v>
      </c>
      <c r="M114">
        <v>0</v>
      </c>
    </row>
    <row r="115" spans="1:13" x14ac:dyDescent="0.25">
      <c r="A115">
        <v>670</v>
      </c>
      <c r="B115" s="33">
        <v>46132</v>
      </c>
      <c r="C115" t="s">
        <v>115</v>
      </c>
      <c r="D115">
        <v>789</v>
      </c>
      <c r="E115" t="s">
        <v>108</v>
      </c>
      <c r="F115">
        <v>2345</v>
      </c>
      <c r="G115" t="s">
        <v>172</v>
      </c>
      <c r="H115">
        <v>830</v>
      </c>
      <c r="I115">
        <v>2345</v>
      </c>
      <c r="J115">
        <v>830</v>
      </c>
      <c r="K115" t="s">
        <v>122</v>
      </c>
      <c r="L115">
        <v>0</v>
      </c>
      <c r="M115">
        <v>0</v>
      </c>
    </row>
    <row r="116" spans="1:13" x14ac:dyDescent="0.25">
      <c r="A116">
        <v>920</v>
      </c>
      <c r="B116" s="33">
        <v>46132</v>
      </c>
      <c r="C116" t="s">
        <v>115</v>
      </c>
      <c r="D116" t="s">
        <v>118</v>
      </c>
      <c r="E116" t="s">
        <v>108</v>
      </c>
      <c r="F116">
        <v>2345</v>
      </c>
      <c r="G116" t="s">
        <v>175</v>
      </c>
      <c r="H116">
        <v>615</v>
      </c>
      <c r="I116">
        <v>2345</v>
      </c>
      <c r="J116">
        <v>615</v>
      </c>
      <c r="K116" t="s">
        <v>122</v>
      </c>
      <c r="L116">
        <v>0</v>
      </c>
      <c r="M116">
        <v>0</v>
      </c>
    </row>
    <row r="117" spans="1:13" x14ac:dyDescent="0.25">
      <c r="A117">
        <v>339</v>
      </c>
      <c r="B117" s="33">
        <v>46132</v>
      </c>
      <c r="C117" t="s">
        <v>115</v>
      </c>
      <c r="D117" t="s">
        <v>114</v>
      </c>
      <c r="E117" t="s">
        <v>108</v>
      </c>
      <c r="F117">
        <v>2350</v>
      </c>
      <c r="G117" t="s">
        <v>137</v>
      </c>
      <c r="H117">
        <v>125</v>
      </c>
      <c r="I117">
        <v>2350</v>
      </c>
      <c r="J117">
        <v>125</v>
      </c>
      <c r="K117" t="s">
        <v>122</v>
      </c>
      <c r="L117">
        <v>0</v>
      </c>
      <c r="M117">
        <v>0</v>
      </c>
    </row>
    <row r="118" spans="1:13" x14ac:dyDescent="0.25">
      <c r="A118">
        <v>642</v>
      </c>
      <c r="B118" s="33">
        <v>46132</v>
      </c>
      <c r="C118" t="s">
        <v>115</v>
      </c>
      <c r="D118">
        <v>359</v>
      </c>
      <c r="E118" t="s">
        <v>108</v>
      </c>
      <c r="F118">
        <v>2350</v>
      </c>
      <c r="G118" t="s">
        <v>165</v>
      </c>
      <c r="H118">
        <v>810</v>
      </c>
      <c r="I118">
        <v>2350</v>
      </c>
      <c r="J118">
        <v>810</v>
      </c>
      <c r="K118" t="s">
        <v>122</v>
      </c>
      <c r="L118">
        <v>0</v>
      </c>
      <c r="M118">
        <v>0</v>
      </c>
    </row>
    <row r="119" spans="1:13" x14ac:dyDescent="0.25">
      <c r="A119">
        <v>622</v>
      </c>
      <c r="B119" s="33">
        <v>46132</v>
      </c>
      <c r="C119" t="s">
        <v>115</v>
      </c>
      <c r="D119" t="s">
        <v>120</v>
      </c>
      <c r="E119" t="s">
        <v>108</v>
      </c>
      <c r="F119">
        <v>2359</v>
      </c>
      <c r="G119" t="s">
        <v>162</v>
      </c>
      <c r="H119">
        <v>730</v>
      </c>
      <c r="I119">
        <v>2359</v>
      </c>
      <c r="J119">
        <v>730</v>
      </c>
      <c r="K119" t="s">
        <v>122</v>
      </c>
      <c r="L119">
        <v>0</v>
      </c>
      <c r="M119">
        <v>0</v>
      </c>
    </row>
    <row r="120" spans="1:13" x14ac:dyDescent="0.25">
      <c r="A120">
        <v>326</v>
      </c>
      <c r="B120" s="33">
        <v>46132</v>
      </c>
      <c r="C120" t="s">
        <v>115</v>
      </c>
      <c r="D120" t="s">
        <v>190</v>
      </c>
      <c r="E120" t="s">
        <v>138</v>
      </c>
      <c r="F120">
        <v>55</v>
      </c>
      <c r="G120" t="s">
        <v>108</v>
      </c>
      <c r="H120">
        <v>620</v>
      </c>
      <c r="I120">
        <v>55</v>
      </c>
      <c r="J120">
        <v>620</v>
      </c>
      <c r="K120" t="s">
        <v>122</v>
      </c>
      <c r="L120">
        <v>0</v>
      </c>
      <c r="M120">
        <v>0</v>
      </c>
    </row>
    <row r="121" spans="1:13" x14ac:dyDescent="0.25">
      <c r="A121">
        <v>352</v>
      </c>
      <c r="B121" s="33">
        <v>46132</v>
      </c>
      <c r="C121" t="s">
        <v>115</v>
      </c>
      <c r="D121" t="s">
        <v>199</v>
      </c>
      <c r="E121" t="s">
        <v>136</v>
      </c>
      <c r="F121">
        <v>240</v>
      </c>
      <c r="G121" t="s">
        <v>108</v>
      </c>
      <c r="H121">
        <v>840</v>
      </c>
      <c r="I121">
        <v>240</v>
      </c>
      <c r="J121">
        <v>840</v>
      </c>
      <c r="K121" t="s">
        <v>122</v>
      </c>
      <c r="L121">
        <v>0</v>
      </c>
      <c r="M121">
        <v>0</v>
      </c>
    </row>
    <row r="122" spans="1:13" x14ac:dyDescent="0.25">
      <c r="A122">
        <v>318</v>
      </c>
      <c r="B122" s="33">
        <v>46132</v>
      </c>
      <c r="C122" t="s">
        <v>115</v>
      </c>
      <c r="D122" t="s">
        <v>107</v>
      </c>
      <c r="E122" t="s">
        <v>136</v>
      </c>
      <c r="F122">
        <v>2335</v>
      </c>
      <c r="G122" t="s">
        <v>108</v>
      </c>
      <c r="H122">
        <v>535</v>
      </c>
      <c r="I122">
        <v>2335</v>
      </c>
      <c r="J122">
        <v>535</v>
      </c>
      <c r="K122" t="s">
        <v>122</v>
      </c>
      <c r="L122">
        <v>0</v>
      </c>
      <c r="M122">
        <v>0</v>
      </c>
    </row>
    <row r="123" spans="1:13" x14ac:dyDescent="0.25">
      <c r="A123">
        <v>935</v>
      </c>
      <c r="B123" s="33">
        <v>46132</v>
      </c>
      <c r="C123" t="s">
        <v>115</v>
      </c>
      <c r="D123">
        <v>788</v>
      </c>
      <c r="E123" t="s">
        <v>178</v>
      </c>
      <c r="F123">
        <v>1330</v>
      </c>
      <c r="G123" t="s">
        <v>108</v>
      </c>
      <c r="H123">
        <v>535</v>
      </c>
      <c r="I123">
        <v>1330</v>
      </c>
      <c r="J123">
        <v>535</v>
      </c>
      <c r="K123" t="s">
        <v>122</v>
      </c>
      <c r="L123">
        <v>0</v>
      </c>
      <c r="M123">
        <v>0</v>
      </c>
    </row>
    <row r="124" spans="1:13" x14ac:dyDescent="0.25">
      <c r="A124">
        <v>669</v>
      </c>
      <c r="B124" s="33">
        <v>46132</v>
      </c>
      <c r="C124" t="s">
        <v>115</v>
      </c>
      <c r="D124">
        <v>788</v>
      </c>
      <c r="E124" t="s">
        <v>171</v>
      </c>
      <c r="F124">
        <v>1545</v>
      </c>
      <c r="G124" t="s">
        <v>108</v>
      </c>
      <c r="H124">
        <v>1745</v>
      </c>
      <c r="I124">
        <v>1545</v>
      </c>
      <c r="J124">
        <v>1745</v>
      </c>
      <c r="K124" t="s">
        <v>122</v>
      </c>
      <c r="L124">
        <v>0</v>
      </c>
      <c r="M124">
        <v>0</v>
      </c>
    </row>
    <row r="125" spans="1:13" x14ac:dyDescent="0.25">
      <c r="A125">
        <v>314</v>
      </c>
      <c r="B125" s="33">
        <v>46132</v>
      </c>
      <c r="C125" t="s">
        <v>115</v>
      </c>
      <c r="D125" t="s">
        <v>189</v>
      </c>
      <c r="E125" t="s">
        <v>134</v>
      </c>
      <c r="F125">
        <v>200</v>
      </c>
      <c r="G125" t="s">
        <v>108</v>
      </c>
      <c r="H125">
        <v>610</v>
      </c>
      <c r="I125">
        <v>200</v>
      </c>
      <c r="J125">
        <v>610</v>
      </c>
      <c r="K125" t="s">
        <v>122</v>
      </c>
      <c r="L125">
        <v>0</v>
      </c>
      <c r="M125">
        <v>0</v>
      </c>
    </row>
    <row r="126" spans="1:13" x14ac:dyDescent="0.25">
      <c r="A126">
        <v>931</v>
      </c>
      <c r="B126" s="33">
        <v>46132</v>
      </c>
      <c r="C126" t="s">
        <v>115</v>
      </c>
      <c r="D126" t="s">
        <v>118</v>
      </c>
      <c r="E126" t="s">
        <v>177</v>
      </c>
      <c r="F126">
        <v>1340</v>
      </c>
      <c r="G126" t="s">
        <v>108</v>
      </c>
      <c r="H126">
        <v>555</v>
      </c>
      <c r="I126">
        <v>1340</v>
      </c>
      <c r="J126">
        <v>555</v>
      </c>
      <c r="K126" t="s">
        <v>122</v>
      </c>
      <c r="L126">
        <v>0</v>
      </c>
      <c r="M126">
        <v>0</v>
      </c>
    </row>
    <row r="127" spans="1:13" x14ac:dyDescent="0.25">
      <c r="A127">
        <v>131</v>
      </c>
      <c r="B127" s="33">
        <v>46132</v>
      </c>
      <c r="C127" t="s">
        <v>115</v>
      </c>
      <c r="D127" t="s">
        <v>114</v>
      </c>
      <c r="E127" t="s">
        <v>126</v>
      </c>
      <c r="F127">
        <v>1010</v>
      </c>
      <c r="G127" t="s">
        <v>108</v>
      </c>
      <c r="H127">
        <v>1140</v>
      </c>
      <c r="I127">
        <v>1010</v>
      </c>
      <c r="J127">
        <v>1140</v>
      </c>
      <c r="K127" t="s">
        <v>122</v>
      </c>
      <c r="L127">
        <v>0</v>
      </c>
      <c r="M127">
        <v>0</v>
      </c>
    </row>
    <row r="128" spans="1:13" x14ac:dyDescent="0.25">
      <c r="A128">
        <v>133</v>
      </c>
      <c r="B128" s="33">
        <v>46132</v>
      </c>
      <c r="C128" t="s">
        <v>115</v>
      </c>
      <c r="D128" t="s">
        <v>129</v>
      </c>
      <c r="E128" t="s">
        <v>126</v>
      </c>
      <c r="F128">
        <v>1340</v>
      </c>
      <c r="G128" t="s">
        <v>108</v>
      </c>
      <c r="H128">
        <v>1510</v>
      </c>
      <c r="I128">
        <v>1340</v>
      </c>
      <c r="J128">
        <v>1510</v>
      </c>
      <c r="K128" t="s">
        <v>122</v>
      </c>
      <c r="L128">
        <v>0</v>
      </c>
      <c r="M128">
        <v>0</v>
      </c>
    </row>
    <row r="129" spans="1:13" x14ac:dyDescent="0.25">
      <c r="A129">
        <v>137</v>
      </c>
      <c r="B129" s="33">
        <v>46132</v>
      </c>
      <c r="C129" t="s">
        <v>115</v>
      </c>
      <c r="D129" t="s">
        <v>114</v>
      </c>
      <c r="E129" t="s">
        <v>126</v>
      </c>
      <c r="F129">
        <v>1855</v>
      </c>
      <c r="G129" t="s">
        <v>108</v>
      </c>
      <c r="H129">
        <v>2015</v>
      </c>
      <c r="I129">
        <v>1855</v>
      </c>
      <c r="J129">
        <v>2015</v>
      </c>
      <c r="K129" t="s">
        <v>122</v>
      </c>
      <c r="L129">
        <v>0</v>
      </c>
      <c r="M129">
        <v>0</v>
      </c>
    </row>
    <row r="130" spans="1:13" x14ac:dyDescent="0.25">
      <c r="A130">
        <v>434</v>
      </c>
      <c r="B130" s="33">
        <v>46132</v>
      </c>
      <c r="C130" t="s">
        <v>115</v>
      </c>
      <c r="D130" t="s">
        <v>117</v>
      </c>
      <c r="E130" t="s">
        <v>148</v>
      </c>
      <c r="F130">
        <v>1235</v>
      </c>
      <c r="G130" t="s">
        <v>108</v>
      </c>
      <c r="H130">
        <v>1605</v>
      </c>
      <c r="I130">
        <v>1235</v>
      </c>
      <c r="J130">
        <v>1605</v>
      </c>
      <c r="K130" t="s">
        <v>122</v>
      </c>
      <c r="L130">
        <v>0</v>
      </c>
      <c r="M130">
        <v>0</v>
      </c>
    </row>
    <row r="131" spans="1:13" x14ac:dyDescent="0.25">
      <c r="A131">
        <v>436</v>
      </c>
      <c r="B131" s="33">
        <v>46132</v>
      </c>
      <c r="C131" t="s">
        <v>115</v>
      </c>
      <c r="D131">
        <v>359</v>
      </c>
      <c r="E131" t="s">
        <v>148</v>
      </c>
      <c r="F131">
        <v>1900</v>
      </c>
      <c r="G131" t="s">
        <v>108</v>
      </c>
      <c r="H131">
        <v>2230</v>
      </c>
      <c r="I131">
        <v>1900</v>
      </c>
      <c r="J131">
        <v>2230</v>
      </c>
      <c r="K131" t="s">
        <v>122</v>
      </c>
      <c r="L131">
        <v>0</v>
      </c>
      <c r="M131">
        <v>0</v>
      </c>
    </row>
    <row r="132" spans="1:13" x14ac:dyDescent="0.25">
      <c r="A132">
        <v>308</v>
      </c>
      <c r="B132" s="33">
        <v>46132</v>
      </c>
      <c r="C132" t="s">
        <v>115</v>
      </c>
      <c r="D132" t="s">
        <v>194</v>
      </c>
      <c r="E132" t="s">
        <v>132</v>
      </c>
      <c r="F132">
        <v>55</v>
      </c>
      <c r="G132" t="s">
        <v>108</v>
      </c>
      <c r="H132">
        <v>610</v>
      </c>
      <c r="I132">
        <v>55</v>
      </c>
      <c r="J132">
        <v>610</v>
      </c>
      <c r="K132" t="s">
        <v>122</v>
      </c>
      <c r="L132">
        <v>0</v>
      </c>
      <c r="M132">
        <v>0</v>
      </c>
    </row>
    <row r="133" spans="1:13" x14ac:dyDescent="0.25">
      <c r="A133">
        <v>103</v>
      </c>
      <c r="B133" s="33">
        <v>46132</v>
      </c>
      <c r="C133" t="s">
        <v>115</v>
      </c>
      <c r="D133" t="s">
        <v>114</v>
      </c>
      <c r="E133" t="s">
        <v>125</v>
      </c>
      <c r="F133">
        <v>925</v>
      </c>
      <c r="G133" t="s">
        <v>108</v>
      </c>
      <c r="H133">
        <v>1050</v>
      </c>
      <c r="I133">
        <v>925</v>
      </c>
      <c r="J133">
        <v>1050</v>
      </c>
      <c r="K133" t="s">
        <v>122</v>
      </c>
      <c r="L133">
        <v>0</v>
      </c>
      <c r="M133">
        <v>0</v>
      </c>
    </row>
    <row r="134" spans="1:13" x14ac:dyDescent="0.25">
      <c r="A134">
        <v>105</v>
      </c>
      <c r="B134" s="33">
        <v>46132</v>
      </c>
      <c r="C134" t="s">
        <v>115</v>
      </c>
      <c r="D134" t="s">
        <v>114</v>
      </c>
      <c r="E134" t="s">
        <v>125</v>
      </c>
      <c r="F134">
        <v>1155</v>
      </c>
      <c r="G134" t="s">
        <v>108</v>
      </c>
      <c r="H134">
        <v>1320</v>
      </c>
      <c r="I134">
        <v>1155</v>
      </c>
      <c r="J134">
        <v>1320</v>
      </c>
      <c r="K134" t="s">
        <v>122</v>
      </c>
      <c r="L134">
        <v>0</v>
      </c>
      <c r="M134">
        <v>0</v>
      </c>
    </row>
    <row r="135" spans="1:13" x14ac:dyDescent="0.25">
      <c r="A135">
        <v>107</v>
      </c>
      <c r="B135" s="33">
        <v>46132</v>
      </c>
      <c r="C135" t="s">
        <v>115</v>
      </c>
      <c r="D135" t="s">
        <v>114</v>
      </c>
      <c r="E135" t="s">
        <v>125</v>
      </c>
      <c r="F135">
        <v>1340</v>
      </c>
      <c r="G135" t="s">
        <v>108</v>
      </c>
      <c r="H135">
        <v>1505</v>
      </c>
      <c r="I135">
        <v>1340</v>
      </c>
      <c r="J135">
        <v>1505</v>
      </c>
      <c r="K135" t="s">
        <v>122</v>
      </c>
      <c r="L135">
        <v>0</v>
      </c>
      <c r="M135">
        <v>0</v>
      </c>
    </row>
    <row r="136" spans="1:13" x14ac:dyDescent="0.25">
      <c r="A136">
        <v>111</v>
      </c>
      <c r="B136" s="33">
        <v>46132</v>
      </c>
      <c r="C136" t="s">
        <v>115</v>
      </c>
      <c r="D136" t="s">
        <v>114</v>
      </c>
      <c r="E136" t="s">
        <v>125</v>
      </c>
      <c r="F136">
        <v>1530</v>
      </c>
      <c r="G136" t="s">
        <v>108</v>
      </c>
      <c r="H136">
        <v>1655</v>
      </c>
      <c r="I136">
        <v>1530</v>
      </c>
      <c r="J136">
        <v>1655</v>
      </c>
      <c r="K136" t="s">
        <v>122</v>
      </c>
      <c r="L136">
        <v>0</v>
      </c>
      <c r="M136">
        <v>0</v>
      </c>
    </row>
    <row r="137" spans="1:13" x14ac:dyDescent="0.25">
      <c r="A137">
        <v>113</v>
      </c>
      <c r="B137" s="33">
        <v>46132</v>
      </c>
      <c r="C137" t="s">
        <v>115</v>
      </c>
      <c r="D137" t="s">
        <v>114</v>
      </c>
      <c r="E137" t="s">
        <v>125</v>
      </c>
      <c r="F137">
        <v>1655</v>
      </c>
      <c r="G137" t="s">
        <v>108</v>
      </c>
      <c r="H137">
        <v>1820</v>
      </c>
      <c r="I137">
        <v>1655</v>
      </c>
      <c r="J137">
        <v>1820</v>
      </c>
      <c r="K137" t="s">
        <v>122</v>
      </c>
      <c r="L137">
        <v>0</v>
      </c>
      <c r="M137">
        <v>0</v>
      </c>
    </row>
    <row r="138" spans="1:13" x14ac:dyDescent="0.25">
      <c r="A138">
        <v>121</v>
      </c>
      <c r="B138" s="33">
        <v>46132</v>
      </c>
      <c r="C138" t="s">
        <v>115</v>
      </c>
      <c r="D138" t="s">
        <v>114</v>
      </c>
      <c r="E138" t="s">
        <v>125</v>
      </c>
      <c r="F138">
        <v>2110</v>
      </c>
      <c r="G138" t="s">
        <v>108</v>
      </c>
      <c r="H138">
        <v>2230</v>
      </c>
      <c r="I138">
        <v>2110</v>
      </c>
      <c r="J138">
        <v>2230</v>
      </c>
      <c r="K138" t="s">
        <v>122</v>
      </c>
      <c r="L138">
        <v>0</v>
      </c>
      <c r="M138">
        <v>0</v>
      </c>
    </row>
    <row r="139" spans="1:13" x14ac:dyDescent="0.25">
      <c r="A139">
        <v>951</v>
      </c>
      <c r="B139" s="33">
        <v>46132</v>
      </c>
      <c r="C139" t="s">
        <v>115</v>
      </c>
      <c r="D139" t="s">
        <v>118</v>
      </c>
      <c r="E139" t="s">
        <v>180</v>
      </c>
      <c r="F139">
        <v>1425</v>
      </c>
      <c r="G139" t="s">
        <v>108</v>
      </c>
      <c r="H139">
        <v>600</v>
      </c>
      <c r="I139">
        <v>1425</v>
      </c>
      <c r="J139">
        <v>600</v>
      </c>
      <c r="K139" t="s">
        <v>122</v>
      </c>
      <c r="L139">
        <v>0</v>
      </c>
      <c r="M139">
        <v>0</v>
      </c>
    </row>
    <row r="140" spans="1:13" x14ac:dyDescent="0.25">
      <c r="A140">
        <v>671</v>
      </c>
      <c r="B140" s="33">
        <v>46132</v>
      </c>
      <c r="C140" t="s">
        <v>115</v>
      </c>
      <c r="D140">
        <v>789</v>
      </c>
      <c r="E140" t="s">
        <v>172</v>
      </c>
      <c r="F140">
        <v>1030</v>
      </c>
      <c r="G140" t="s">
        <v>108</v>
      </c>
      <c r="H140">
        <v>1530</v>
      </c>
      <c r="I140">
        <v>1030</v>
      </c>
      <c r="J140">
        <v>1530</v>
      </c>
      <c r="K140" t="s">
        <v>122</v>
      </c>
      <c r="L140">
        <v>0</v>
      </c>
      <c r="M140">
        <v>0</v>
      </c>
    </row>
    <row r="141" spans="1:13" x14ac:dyDescent="0.25">
      <c r="A141">
        <v>340</v>
      </c>
      <c r="B141" s="33">
        <v>46132</v>
      </c>
      <c r="C141" t="s">
        <v>115</v>
      </c>
      <c r="D141" t="s">
        <v>191</v>
      </c>
      <c r="E141" t="s">
        <v>137</v>
      </c>
      <c r="F141">
        <v>245</v>
      </c>
      <c r="G141" t="s">
        <v>108</v>
      </c>
      <c r="H141">
        <v>615</v>
      </c>
      <c r="I141">
        <v>245</v>
      </c>
      <c r="J141">
        <v>615</v>
      </c>
      <c r="K141" t="s">
        <v>122</v>
      </c>
      <c r="L141">
        <v>0</v>
      </c>
      <c r="M141">
        <v>0</v>
      </c>
    </row>
    <row r="142" spans="1:13" x14ac:dyDescent="0.25">
      <c r="A142">
        <v>322</v>
      </c>
      <c r="B142" s="33">
        <v>46132</v>
      </c>
      <c r="C142" t="s">
        <v>115</v>
      </c>
      <c r="D142">
        <v>788</v>
      </c>
      <c r="E142" t="s">
        <v>137</v>
      </c>
      <c r="F142">
        <v>1335</v>
      </c>
      <c r="G142" t="s">
        <v>108</v>
      </c>
      <c r="H142">
        <v>1700</v>
      </c>
      <c r="I142">
        <v>1335</v>
      </c>
      <c r="J142">
        <v>1700</v>
      </c>
      <c r="K142" t="s">
        <v>122</v>
      </c>
      <c r="L142">
        <v>0</v>
      </c>
      <c r="M142">
        <v>0</v>
      </c>
    </row>
    <row r="143" spans="1:13" x14ac:dyDescent="0.25">
      <c r="A143">
        <v>332</v>
      </c>
      <c r="B143" s="33">
        <v>46132</v>
      </c>
      <c r="C143" t="s">
        <v>115</v>
      </c>
      <c r="D143" t="s">
        <v>188</v>
      </c>
      <c r="E143" t="s">
        <v>135</v>
      </c>
      <c r="F143">
        <v>320</v>
      </c>
      <c r="G143" t="s">
        <v>108</v>
      </c>
      <c r="H143">
        <v>915</v>
      </c>
      <c r="I143">
        <v>320</v>
      </c>
      <c r="J143">
        <v>915</v>
      </c>
      <c r="K143" t="s">
        <v>122</v>
      </c>
      <c r="L143">
        <v>0</v>
      </c>
      <c r="M143">
        <v>0</v>
      </c>
    </row>
    <row r="144" spans="1:13" x14ac:dyDescent="0.25">
      <c r="A144">
        <v>324</v>
      </c>
      <c r="B144" s="33">
        <v>46132</v>
      </c>
      <c r="C144" t="s">
        <v>115</v>
      </c>
      <c r="D144" t="s">
        <v>117</v>
      </c>
      <c r="E144" t="s">
        <v>135</v>
      </c>
      <c r="F144">
        <v>1140</v>
      </c>
      <c r="G144" t="s">
        <v>108</v>
      </c>
      <c r="H144">
        <v>1735</v>
      </c>
      <c r="I144">
        <v>1140</v>
      </c>
      <c r="J144">
        <v>1735</v>
      </c>
      <c r="K144" t="s">
        <v>122</v>
      </c>
      <c r="L144">
        <v>0</v>
      </c>
      <c r="M144">
        <v>0</v>
      </c>
    </row>
    <row r="145" spans="1:13" x14ac:dyDescent="0.25">
      <c r="A145">
        <v>316</v>
      </c>
      <c r="B145" s="33">
        <v>46132</v>
      </c>
      <c r="C145" t="s">
        <v>115</v>
      </c>
      <c r="D145" t="s">
        <v>118</v>
      </c>
      <c r="E145" t="s">
        <v>135</v>
      </c>
      <c r="F145">
        <v>2330</v>
      </c>
      <c r="G145" t="s">
        <v>108</v>
      </c>
      <c r="H145">
        <v>525</v>
      </c>
      <c r="I145">
        <v>2330</v>
      </c>
      <c r="J145">
        <v>525</v>
      </c>
      <c r="K145" t="s">
        <v>122</v>
      </c>
      <c r="L145">
        <v>0</v>
      </c>
      <c r="M145">
        <v>0</v>
      </c>
    </row>
    <row r="146" spans="1:13" x14ac:dyDescent="0.25">
      <c r="A146">
        <v>432</v>
      </c>
      <c r="B146" s="33">
        <v>46132</v>
      </c>
      <c r="C146" t="s">
        <v>115</v>
      </c>
      <c r="D146">
        <v>359</v>
      </c>
      <c r="E146" t="s">
        <v>147</v>
      </c>
      <c r="F146">
        <v>1655</v>
      </c>
      <c r="G146" t="s">
        <v>108</v>
      </c>
      <c r="H146">
        <v>2005</v>
      </c>
      <c r="I146">
        <v>1655</v>
      </c>
      <c r="J146">
        <v>2005</v>
      </c>
      <c r="K146" t="s">
        <v>122</v>
      </c>
      <c r="L146">
        <v>0</v>
      </c>
      <c r="M146">
        <v>0</v>
      </c>
    </row>
    <row r="147" spans="1:13" x14ac:dyDescent="0.25">
      <c r="A147">
        <v>440</v>
      </c>
      <c r="B147" s="33">
        <v>46132</v>
      </c>
      <c r="C147" t="s">
        <v>115</v>
      </c>
      <c r="D147" t="s">
        <v>114</v>
      </c>
      <c r="E147" t="s">
        <v>147</v>
      </c>
      <c r="F147">
        <v>1900</v>
      </c>
      <c r="G147" t="s">
        <v>108</v>
      </c>
      <c r="H147">
        <v>2210</v>
      </c>
      <c r="I147">
        <v>1900</v>
      </c>
      <c r="J147">
        <v>2210</v>
      </c>
      <c r="K147" t="s">
        <v>122</v>
      </c>
      <c r="L147">
        <v>0</v>
      </c>
      <c r="M147">
        <v>0</v>
      </c>
    </row>
    <row r="148" spans="1:13" x14ac:dyDescent="0.25">
      <c r="A148">
        <v>921</v>
      </c>
      <c r="B148" s="33">
        <v>46132</v>
      </c>
      <c r="C148" t="s">
        <v>115</v>
      </c>
      <c r="D148" t="s">
        <v>118</v>
      </c>
      <c r="E148" t="s">
        <v>175</v>
      </c>
      <c r="F148">
        <v>1445</v>
      </c>
      <c r="G148" t="s">
        <v>108</v>
      </c>
      <c r="H148">
        <v>625</v>
      </c>
      <c r="I148">
        <v>1445</v>
      </c>
      <c r="J148">
        <v>625</v>
      </c>
      <c r="K148" t="s">
        <v>122</v>
      </c>
      <c r="L148">
        <v>0</v>
      </c>
      <c r="M148">
        <v>0</v>
      </c>
    </row>
    <row r="149" spans="1:13" x14ac:dyDescent="0.25">
      <c r="A149">
        <v>923</v>
      </c>
      <c r="B149" s="33">
        <v>46132</v>
      </c>
      <c r="C149" t="s">
        <v>115</v>
      </c>
      <c r="D149" t="s">
        <v>118</v>
      </c>
      <c r="E149" t="s">
        <v>175</v>
      </c>
      <c r="F149">
        <v>2040</v>
      </c>
      <c r="G149" t="s">
        <v>108</v>
      </c>
      <c r="H149">
        <v>1230</v>
      </c>
      <c r="I149">
        <v>2040</v>
      </c>
      <c r="J149">
        <v>1230</v>
      </c>
      <c r="K149" t="s">
        <v>122</v>
      </c>
      <c r="L149">
        <v>0</v>
      </c>
      <c r="M149">
        <v>0</v>
      </c>
    </row>
    <row r="150" spans="1:13" x14ac:dyDescent="0.25">
      <c r="A150">
        <v>649</v>
      </c>
      <c r="B150" s="33">
        <v>46132</v>
      </c>
      <c r="C150" t="s">
        <v>115</v>
      </c>
      <c r="D150" t="s">
        <v>143</v>
      </c>
      <c r="E150" t="s">
        <v>167</v>
      </c>
      <c r="F150">
        <v>1135</v>
      </c>
      <c r="G150" t="s">
        <v>108</v>
      </c>
      <c r="H150">
        <v>1505</v>
      </c>
      <c r="I150">
        <v>1135</v>
      </c>
      <c r="J150">
        <v>1505</v>
      </c>
      <c r="K150" t="s">
        <v>122</v>
      </c>
      <c r="L150">
        <v>0</v>
      </c>
      <c r="M150">
        <v>0</v>
      </c>
    </row>
    <row r="151" spans="1:13" x14ac:dyDescent="0.25">
      <c r="A151">
        <v>561</v>
      </c>
      <c r="B151" s="33">
        <v>46132</v>
      </c>
      <c r="C151" t="s">
        <v>115</v>
      </c>
      <c r="D151" t="s">
        <v>114</v>
      </c>
      <c r="E151" t="s">
        <v>154</v>
      </c>
      <c r="F151">
        <v>1035</v>
      </c>
      <c r="G151" t="s">
        <v>108</v>
      </c>
      <c r="H151">
        <v>1225</v>
      </c>
      <c r="I151">
        <v>1035</v>
      </c>
      <c r="J151">
        <v>1225</v>
      </c>
      <c r="K151" t="s">
        <v>122</v>
      </c>
      <c r="L151">
        <v>0</v>
      </c>
      <c r="M151">
        <v>0</v>
      </c>
    </row>
    <row r="152" spans="1:13" x14ac:dyDescent="0.25">
      <c r="A152">
        <v>565</v>
      </c>
      <c r="B152" s="33">
        <v>46132</v>
      </c>
      <c r="C152" t="s">
        <v>115</v>
      </c>
      <c r="D152" t="s">
        <v>114</v>
      </c>
      <c r="E152" t="s">
        <v>154</v>
      </c>
      <c r="F152">
        <v>2045</v>
      </c>
      <c r="G152" t="s">
        <v>108</v>
      </c>
      <c r="H152">
        <v>2235</v>
      </c>
      <c r="I152">
        <v>2045</v>
      </c>
      <c r="J152">
        <v>2235</v>
      </c>
      <c r="K152" t="s">
        <v>122</v>
      </c>
      <c r="L152">
        <v>0</v>
      </c>
      <c r="M152">
        <v>0</v>
      </c>
    </row>
    <row r="153" spans="1:13" x14ac:dyDescent="0.25">
      <c r="A153">
        <v>260</v>
      </c>
      <c r="B153" s="33">
        <v>46132</v>
      </c>
      <c r="C153" t="s">
        <v>115</v>
      </c>
      <c r="D153" t="s">
        <v>114</v>
      </c>
      <c r="E153" t="s">
        <v>130</v>
      </c>
      <c r="F153">
        <v>905</v>
      </c>
      <c r="G153" t="s">
        <v>108</v>
      </c>
      <c r="H153">
        <v>1035</v>
      </c>
      <c r="I153">
        <v>905</v>
      </c>
      <c r="J153">
        <v>1035</v>
      </c>
      <c r="K153" t="s">
        <v>122</v>
      </c>
      <c r="L153">
        <v>0</v>
      </c>
      <c r="M153">
        <v>0</v>
      </c>
    </row>
    <row r="154" spans="1:13" x14ac:dyDescent="0.25">
      <c r="A154">
        <v>264</v>
      </c>
      <c r="B154" s="33">
        <v>46132</v>
      </c>
      <c r="C154" t="s">
        <v>115</v>
      </c>
      <c r="D154" t="s">
        <v>114</v>
      </c>
      <c r="E154" t="s">
        <v>130</v>
      </c>
      <c r="F154">
        <v>1440</v>
      </c>
      <c r="G154" t="s">
        <v>108</v>
      </c>
      <c r="H154">
        <v>1615</v>
      </c>
      <c r="I154">
        <v>1440</v>
      </c>
      <c r="J154">
        <v>1615</v>
      </c>
      <c r="K154" t="s">
        <v>122</v>
      </c>
      <c r="L154">
        <v>0</v>
      </c>
      <c r="M154">
        <v>0</v>
      </c>
    </row>
    <row r="155" spans="1:13" x14ac:dyDescent="0.25">
      <c r="A155">
        <v>268</v>
      </c>
      <c r="B155" s="33">
        <v>46132</v>
      </c>
      <c r="C155" t="s">
        <v>115</v>
      </c>
      <c r="D155" t="s">
        <v>114</v>
      </c>
      <c r="E155" t="s">
        <v>130</v>
      </c>
      <c r="F155">
        <v>2040</v>
      </c>
      <c r="G155" t="s">
        <v>108</v>
      </c>
      <c r="H155">
        <v>2215</v>
      </c>
      <c r="I155">
        <v>2040</v>
      </c>
      <c r="J155">
        <v>2215</v>
      </c>
      <c r="K155" t="s">
        <v>122</v>
      </c>
      <c r="L155">
        <v>0</v>
      </c>
      <c r="M155">
        <v>0</v>
      </c>
    </row>
    <row r="156" spans="1:13" x14ac:dyDescent="0.25">
      <c r="A156">
        <v>603</v>
      </c>
      <c r="B156" s="33">
        <v>46132</v>
      </c>
      <c r="C156" t="s">
        <v>115</v>
      </c>
      <c r="D156" t="s">
        <v>200</v>
      </c>
      <c r="E156" t="s">
        <v>157</v>
      </c>
      <c r="F156">
        <v>750</v>
      </c>
      <c r="G156" t="s">
        <v>108</v>
      </c>
      <c r="H156">
        <v>930</v>
      </c>
      <c r="I156">
        <v>750</v>
      </c>
      <c r="J156">
        <v>930</v>
      </c>
      <c r="K156" t="s">
        <v>122</v>
      </c>
      <c r="L156">
        <v>0</v>
      </c>
      <c r="M156">
        <v>0</v>
      </c>
    </row>
    <row r="157" spans="1:13" x14ac:dyDescent="0.25">
      <c r="A157">
        <v>601</v>
      </c>
      <c r="B157" s="33">
        <v>46132</v>
      </c>
      <c r="C157" t="s">
        <v>115</v>
      </c>
      <c r="D157" t="s">
        <v>118</v>
      </c>
      <c r="E157" t="s">
        <v>157</v>
      </c>
      <c r="F157">
        <v>1245</v>
      </c>
      <c r="G157" t="s">
        <v>108</v>
      </c>
      <c r="H157">
        <v>1425</v>
      </c>
      <c r="I157">
        <v>1245</v>
      </c>
      <c r="J157">
        <v>1425</v>
      </c>
      <c r="K157" t="s">
        <v>122</v>
      </c>
      <c r="L157">
        <v>0</v>
      </c>
      <c r="M157">
        <v>0</v>
      </c>
    </row>
    <row r="158" spans="1:13" x14ac:dyDescent="0.25">
      <c r="A158">
        <v>629</v>
      </c>
      <c r="B158" s="33">
        <v>46132</v>
      </c>
      <c r="C158" t="s">
        <v>115</v>
      </c>
      <c r="D158" t="s">
        <v>114</v>
      </c>
      <c r="E158" t="s">
        <v>157</v>
      </c>
      <c r="F158">
        <v>1530</v>
      </c>
      <c r="G158" t="s">
        <v>108</v>
      </c>
      <c r="H158">
        <v>1720</v>
      </c>
      <c r="I158">
        <v>1530</v>
      </c>
      <c r="J158">
        <v>1720</v>
      </c>
      <c r="K158" t="s">
        <v>122</v>
      </c>
      <c r="L158">
        <v>0</v>
      </c>
      <c r="M158">
        <v>0</v>
      </c>
    </row>
    <row r="159" spans="1:13" x14ac:dyDescent="0.25">
      <c r="A159">
        <v>639</v>
      </c>
      <c r="B159" s="33">
        <v>46132</v>
      </c>
      <c r="C159" t="s">
        <v>115</v>
      </c>
      <c r="D159" t="s">
        <v>118</v>
      </c>
      <c r="E159" t="s">
        <v>157</v>
      </c>
      <c r="F159">
        <v>1905</v>
      </c>
      <c r="G159" t="s">
        <v>108</v>
      </c>
      <c r="H159">
        <v>2045</v>
      </c>
      <c r="I159">
        <v>1905</v>
      </c>
      <c r="J159">
        <v>2045</v>
      </c>
      <c r="K159" t="s">
        <v>122</v>
      </c>
      <c r="L159">
        <v>0</v>
      </c>
      <c r="M159">
        <v>0</v>
      </c>
    </row>
    <row r="160" spans="1:13" x14ac:dyDescent="0.25">
      <c r="A160">
        <v>202</v>
      </c>
      <c r="B160" s="33">
        <v>46132</v>
      </c>
      <c r="C160" t="s">
        <v>115</v>
      </c>
      <c r="D160" t="s">
        <v>114</v>
      </c>
      <c r="E160" t="s">
        <v>127</v>
      </c>
      <c r="F160">
        <v>940</v>
      </c>
      <c r="G160" t="s">
        <v>108</v>
      </c>
      <c r="H160">
        <v>1110</v>
      </c>
      <c r="I160">
        <v>940</v>
      </c>
      <c r="J160">
        <v>1110</v>
      </c>
      <c r="K160" t="s">
        <v>122</v>
      </c>
      <c r="L160">
        <v>0</v>
      </c>
      <c r="M160">
        <v>0</v>
      </c>
    </row>
    <row r="161" spans="1:13" x14ac:dyDescent="0.25">
      <c r="A161">
        <v>204</v>
      </c>
      <c r="B161" s="33">
        <v>46132</v>
      </c>
      <c r="C161" t="s">
        <v>115</v>
      </c>
      <c r="D161" t="s">
        <v>114</v>
      </c>
      <c r="E161" t="s">
        <v>127</v>
      </c>
      <c r="F161">
        <v>1015</v>
      </c>
      <c r="G161" t="s">
        <v>108</v>
      </c>
      <c r="H161">
        <v>1150</v>
      </c>
      <c r="I161">
        <v>1015</v>
      </c>
      <c r="J161">
        <v>1150</v>
      </c>
      <c r="K161" t="s">
        <v>122</v>
      </c>
      <c r="L161">
        <v>0</v>
      </c>
      <c r="M161">
        <v>0</v>
      </c>
    </row>
    <row r="162" spans="1:13" x14ac:dyDescent="0.25">
      <c r="A162">
        <v>206</v>
      </c>
      <c r="B162" s="33">
        <v>46132</v>
      </c>
      <c r="C162" t="s">
        <v>115</v>
      </c>
      <c r="D162" t="s">
        <v>114</v>
      </c>
      <c r="E162" t="s">
        <v>127</v>
      </c>
      <c r="F162">
        <v>1140</v>
      </c>
      <c r="G162" t="s">
        <v>108</v>
      </c>
      <c r="H162">
        <v>1315</v>
      </c>
      <c r="I162">
        <v>1140</v>
      </c>
      <c r="J162">
        <v>1315</v>
      </c>
      <c r="K162" t="s">
        <v>122</v>
      </c>
      <c r="L162">
        <v>0</v>
      </c>
      <c r="M162">
        <v>0</v>
      </c>
    </row>
    <row r="163" spans="1:13" x14ac:dyDescent="0.25">
      <c r="A163">
        <v>208</v>
      </c>
      <c r="B163" s="33">
        <v>46132</v>
      </c>
      <c r="C163" t="s">
        <v>115</v>
      </c>
      <c r="D163" t="s">
        <v>114</v>
      </c>
      <c r="E163" t="s">
        <v>127</v>
      </c>
      <c r="F163">
        <v>1300</v>
      </c>
      <c r="G163" t="s">
        <v>108</v>
      </c>
      <c r="H163">
        <v>1435</v>
      </c>
      <c r="I163">
        <v>1300</v>
      </c>
      <c r="J163">
        <v>1435</v>
      </c>
      <c r="K163" t="s">
        <v>122</v>
      </c>
      <c r="L163">
        <v>0</v>
      </c>
      <c r="M163">
        <v>0</v>
      </c>
    </row>
    <row r="164" spans="1:13" x14ac:dyDescent="0.25">
      <c r="A164">
        <v>212</v>
      </c>
      <c r="B164" s="33">
        <v>46132</v>
      </c>
      <c r="C164" t="s">
        <v>115</v>
      </c>
      <c r="D164" t="s">
        <v>114</v>
      </c>
      <c r="E164" t="s">
        <v>127</v>
      </c>
      <c r="F164">
        <v>1605</v>
      </c>
      <c r="G164" t="s">
        <v>108</v>
      </c>
      <c r="H164">
        <v>1740</v>
      </c>
      <c r="I164">
        <v>1605</v>
      </c>
      <c r="J164">
        <v>1740</v>
      </c>
      <c r="K164" t="s">
        <v>122</v>
      </c>
      <c r="L164">
        <v>0</v>
      </c>
      <c r="M164">
        <v>0</v>
      </c>
    </row>
    <row r="165" spans="1:13" x14ac:dyDescent="0.25">
      <c r="A165">
        <v>216</v>
      </c>
      <c r="B165" s="33">
        <v>46132</v>
      </c>
      <c r="C165" t="s">
        <v>115</v>
      </c>
      <c r="D165" t="s">
        <v>114</v>
      </c>
      <c r="E165" t="s">
        <v>127</v>
      </c>
      <c r="F165">
        <v>1655</v>
      </c>
      <c r="G165" t="s">
        <v>108</v>
      </c>
      <c r="H165">
        <v>1825</v>
      </c>
      <c r="I165">
        <v>1655</v>
      </c>
      <c r="J165">
        <v>1825</v>
      </c>
      <c r="K165" t="s">
        <v>122</v>
      </c>
      <c r="L165">
        <v>0</v>
      </c>
      <c r="M165">
        <v>0</v>
      </c>
    </row>
    <row r="166" spans="1:13" x14ac:dyDescent="0.25">
      <c r="A166">
        <v>218</v>
      </c>
      <c r="B166" s="33">
        <v>46132</v>
      </c>
      <c r="C166" t="s">
        <v>115</v>
      </c>
      <c r="D166" t="s">
        <v>114</v>
      </c>
      <c r="E166" t="s">
        <v>127</v>
      </c>
      <c r="F166">
        <v>1915</v>
      </c>
      <c r="G166" t="s">
        <v>108</v>
      </c>
      <c r="H166">
        <v>2050</v>
      </c>
      <c r="I166">
        <v>1915</v>
      </c>
      <c r="J166">
        <v>2050</v>
      </c>
      <c r="K166" t="s">
        <v>122</v>
      </c>
      <c r="L166">
        <v>0</v>
      </c>
      <c r="M166">
        <v>0</v>
      </c>
    </row>
    <row r="167" spans="1:13" x14ac:dyDescent="0.25">
      <c r="A167">
        <v>222</v>
      </c>
      <c r="B167" s="33">
        <v>46132</v>
      </c>
      <c r="C167" t="s">
        <v>115</v>
      </c>
      <c r="D167" t="s">
        <v>114</v>
      </c>
      <c r="E167" t="s">
        <v>127</v>
      </c>
      <c r="F167">
        <v>2120</v>
      </c>
      <c r="G167" t="s">
        <v>108</v>
      </c>
      <c r="H167">
        <v>2255</v>
      </c>
      <c r="I167">
        <v>2120</v>
      </c>
      <c r="J167">
        <v>2255</v>
      </c>
      <c r="K167" t="s">
        <v>122</v>
      </c>
      <c r="L167">
        <v>0</v>
      </c>
      <c r="M167">
        <v>0</v>
      </c>
    </row>
    <row r="168" spans="1:13" x14ac:dyDescent="0.25">
      <c r="A168">
        <v>661</v>
      </c>
      <c r="B168" s="33">
        <v>46132</v>
      </c>
      <c r="C168" t="s">
        <v>115</v>
      </c>
      <c r="D168" t="s">
        <v>203</v>
      </c>
      <c r="E168" t="s">
        <v>169</v>
      </c>
      <c r="F168">
        <v>20</v>
      </c>
      <c r="G168" t="s">
        <v>108</v>
      </c>
      <c r="H168">
        <v>450</v>
      </c>
      <c r="I168">
        <v>20</v>
      </c>
      <c r="J168">
        <v>450</v>
      </c>
      <c r="K168" t="s">
        <v>122</v>
      </c>
      <c r="L168">
        <v>0</v>
      </c>
      <c r="M168">
        <v>0</v>
      </c>
    </row>
    <row r="169" spans="1:13" x14ac:dyDescent="0.25">
      <c r="A169">
        <v>683</v>
      </c>
      <c r="B169" s="33">
        <v>46132</v>
      </c>
      <c r="C169" t="s">
        <v>115</v>
      </c>
      <c r="D169" t="s">
        <v>118</v>
      </c>
      <c r="E169" t="s">
        <v>169</v>
      </c>
      <c r="F169">
        <v>1035</v>
      </c>
      <c r="G169" t="s">
        <v>108</v>
      </c>
      <c r="H169">
        <v>1505</v>
      </c>
      <c r="I169">
        <v>1035</v>
      </c>
      <c r="J169">
        <v>1505</v>
      </c>
      <c r="K169" t="s">
        <v>122</v>
      </c>
      <c r="L169">
        <v>0</v>
      </c>
      <c r="M169">
        <v>0</v>
      </c>
    </row>
    <row r="170" spans="1:13" x14ac:dyDescent="0.25">
      <c r="A170">
        <v>330</v>
      </c>
      <c r="B170" s="33">
        <v>46132</v>
      </c>
      <c r="C170" t="s">
        <v>115</v>
      </c>
      <c r="D170" t="s">
        <v>198</v>
      </c>
      <c r="E170" t="s">
        <v>139</v>
      </c>
      <c r="F170">
        <v>110</v>
      </c>
      <c r="G170" t="s">
        <v>108</v>
      </c>
      <c r="H170">
        <v>615</v>
      </c>
      <c r="I170">
        <v>110</v>
      </c>
      <c r="J170">
        <v>615</v>
      </c>
      <c r="K170" t="s">
        <v>122</v>
      </c>
      <c r="L170">
        <v>0</v>
      </c>
      <c r="M170">
        <v>0</v>
      </c>
    </row>
    <row r="171" spans="1:13" x14ac:dyDescent="0.25">
      <c r="A171">
        <v>659</v>
      </c>
      <c r="B171" s="33">
        <v>46132</v>
      </c>
      <c r="C171" t="s">
        <v>115</v>
      </c>
      <c r="D171">
        <v>359</v>
      </c>
      <c r="E171" t="s">
        <v>168</v>
      </c>
      <c r="F171">
        <v>935</v>
      </c>
      <c r="G171" t="s">
        <v>108</v>
      </c>
      <c r="H171">
        <v>1325</v>
      </c>
      <c r="I171">
        <v>935</v>
      </c>
      <c r="J171">
        <v>1325</v>
      </c>
      <c r="K171" t="s">
        <v>122</v>
      </c>
      <c r="L171">
        <v>0</v>
      </c>
      <c r="M171">
        <v>0</v>
      </c>
    </row>
    <row r="172" spans="1:13" x14ac:dyDescent="0.25">
      <c r="A172">
        <v>657</v>
      </c>
      <c r="B172" s="33">
        <v>46132</v>
      </c>
      <c r="C172" t="s">
        <v>115</v>
      </c>
      <c r="D172" t="s">
        <v>142</v>
      </c>
      <c r="E172" t="s">
        <v>168</v>
      </c>
      <c r="F172">
        <v>1020</v>
      </c>
      <c r="G172" t="s">
        <v>108</v>
      </c>
      <c r="H172">
        <v>1410</v>
      </c>
      <c r="I172">
        <v>1020</v>
      </c>
      <c r="J172">
        <v>1410</v>
      </c>
      <c r="K172" t="s">
        <v>122</v>
      </c>
      <c r="L172">
        <v>0</v>
      </c>
      <c r="M172">
        <v>0</v>
      </c>
    </row>
    <row r="173" spans="1:13" x14ac:dyDescent="0.25">
      <c r="A173">
        <v>653</v>
      </c>
      <c r="B173" s="33">
        <v>46132</v>
      </c>
      <c r="C173" t="s">
        <v>115</v>
      </c>
      <c r="D173">
        <v>359</v>
      </c>
      <c r="E173" t="s">
        <v>168</v>
      </c>
      <c r="F173">
        <v>1655</v>
      </c>
      <c r="G173" t="s">
        <v>108</v>
      </c>
      <c r="H173">
        <v>2045</v>
      </c>
      <c r="I173">
        <v>1655</v>
      </c>
      <c r="J173">
        <v>2045</v>
      </c>
      <c r="K173" t="s">
        <v>122</v>
      </c>
      <c r="L173">
        <v>0</v>
      </c>
      <c r="M173">
        <v>0</v>
      </c>
    </row>
    <row r="174" spans="1:13" x14ac:dyDescent="0.25">
      <c r="A174">
        <v>350</v>
      </c>
      <c r="B174" s="33">
        <v>46132</v>
      </c>
      <c r="C174" t="s">
        <v>115</v>
      </c>
      <c r="D174" t="s">
        <v>142</v>
      </c>
      <c r="E174" t="s">
        <v>192</v>
      </c>
      <c r="F174">
        <v>2320</v>
      </c>
      <c r="G174" t="s">
        <v>108</v>
      </c>
      <c r="H174">
        <v>625</v>
      </c>
      <c r="I174">
        <v>2320</v>
      </c>
      <c r="J174">
        <v>625</v>
      </c>
      <c r="K174" t="s">
        <v>122</v>
      </c>
      <c r="L174">
        <v>0</v>
      </c>
      <c r="M174">
        <v>0</v>
      </c>
    </row>
    <row r="175" spans="1:13" x14ac:dyDescent="0.25">
      <c r="A175">
        <v>901</v>
      </c>
      <c r="B175" s="33">
        <v>46132</v>
      </c>
      <c r="C175" t="s">
        <v>115</v>
      </c>
      <c r="D175" t="s">
        <v>119</v>
      </c>
      <c r="E175" t="s">
        <v>173</v>
      </c>
      <c r="F175">
        <v>1630</v>
      </c>
      <c r="G175" t="s">
        <v>108</v>
      </c>
      <c r="H175">
        <v>540</v>
      </c>
      <c r="I175">
        <v>1630</v>
      </c>
      <c r="J175">
        <v>540</v>
      </c>
      <c r="K175" t="s">
        <v>122</v>
      </c>
      <c r="L175">
        <v>0</v>
      </c>
      <c r="M175">
        <v>0</v>
      </c>
    </row>
    <row r="176" spans="1:13" x14ac:dyDescent="0.25">
      <c r="A176">
        <v>242</v>
      </c>
      <c r="B176" s="33">
        <v>46132</v>
      </c>
      <c r="C176" t="s">
        <v>115</v>
      </c>
      <c r="D176" t="s">
        <v>114</v>
      </c>
      <c r="E176" t="s">
        <v>128</v>
      </c>
      <c r="F176">
        <v>930</v>
      </c>
      <c r="G176" t="s">
        <v>108</v>
      </c>
      <c r="H176">
        <v>1055</v>
      </c>
      <c r="I176">
        <v>930</v>
      </c>
      <c r="J176">
        <v>1055</v>
      </c>
      <c r="K176" t="s">
        <v>122</v>
      </c>
      <c r="L176">
        <v>0</v>
      </c>
      <c r="M176">
        <v>0</v>
      </c>
    </row>
    <row r="177" spans="1:13" x14ac:dyDescent="0.25">
      <c r="A177">
        <v>250</v>
      </c>
      <c r="B177" s="33">
        <v>46132</v>
      </c>
      <c r="C177" t="s">
        <v>115</v>
      </c>
      <c r="D177" t="s">
        <v>114</v>
      </c>
      <c r="E177" t="s">
        <v>128</v>
      </c>
      <c r="F177">
        <v>2020</v>
      </c>
      <c r="G177" t="s">
        <v>108</v>
      </c>
      <c r="H177">
        <v>2145</v>
      </c>
      <c r="I177">
        <v>2020</v>
      </c>
      <c r="J177">
        <v>2145</v>
      </c>
      <c r="K177" t="s">
        <v>122</v>
      </c>
      <c r="L177">
        <v>0</v>
      </c>
      <c r="M177">
        <v>0</v>
      </c>
    </row>
    <row r="178" spans="1:13" x14ac:dyDescent="0.25">
      <c r="A178">
        <v>631</v>
      </c>
      <c r="B178" s="33">
        <v>46132</v>
      </c>
      <c r="C178" t="s">
        <v>115</v>
      </c>
      <c r="D178" t="s">
        <v>114</v>
      </c>
      <c r="E178" t="s">
        <v>163</v>
      </c>
      <c r="F178">
        <v>1715</v>
      </c>
      <c r="G178" t="s">
        <v>108</v>
      </c>
      <c r="H178">
        <v>1955</v>
      </c>
      <c r="I178">
        <v>1715</v>
      </c>
      <c r="J178">
        <v>1955</v>
      </c>
      <c r="K178" t="s">
        <v>122</v>
      </c>
      <c r="L178">
        <v>0</v>
      </c>
      <c r="M178">
        <v>0</v>
      </c>
    </row>
    <row r="179" spans="1:13" x14ac:dyDescent="0.25">
      <c r="A179">
        <v>623</v>
      </c>
      <c r="B179" s="33">
        <v>46132</v>
      </c>
      <c r="C179" t="s">
        <v>115</v>
      </c>
      <c r="D179" t="s">
        <v>120</v>
      </c>
      <c r="E179" t="s">
        <v>162</v>
      </c>
      <c r="F179">
        <v>1145</v>
      </c>
      <c r="G179" t="s">
        <v>108</v>
      </c>
      <c r="H179">
        <v>1535</v>
      </c>
      <c r="I179">
        <v>1145</v>
      </c>
      <c r="J179">
        <v>1535</v>
      </c>
      <c r="K179" t="s">
        <v>122</v>
      </c>
      <c r="L179">
        <v>0</v>
      </c>
      <c r="M179">
        <v>0</v>
      </c>
    </row>
    <row r="180" spans="1:13" x14ac:dyDescent="0.25">
      <c r="A180">
        <v>673</v>
      </c>
      <c r="B180" s="33">
        <v>46132</v>
      </c>
      <c r="C180" t="s">
        <v>115</v>
      </c>
      <c r="D180" t="s">
        <v>118</v>
      </c>
      <c r="E180" t="s">
        <v>162</v>
      </c>
      <c r="F180">
        <v>1735</v>
      </c>
      <c r="G180" t="s">
        <v>108</v>
      </c>
      <c r="H180">
        <v>2125</v>
      </c>
      <c r="I180">
        <v>1735</v>
      </c>
      <c r="J180">
        <v>2125</v>
      </c>
      <c r="K180" t="s">
        <v>122</v>
      </c>
      <c r="L180">
        <v>0</v>
      </c>
      <c r="M180">
        <v>0</v>
      </c>
    </row>
    <row r="181" spans="1:13" x14ac:dyDescent="0.25">
      <c r="A181">
        <v>41</v>
      </c>
      <c r="B181" s="33">
        <v>46132</v>
      </c>
      <c r="C181" t="s">
        <v>115</v>
      </c>
      <c r="D181" t="s">
        <v>114</v>
      </c>
      <c r="E181" t="s">
        <v>124</v>
      </c>
      <c r="F181">
        <v>830</v>
      </c>
      <c r="G181" t="s">
        <v>108</v>
      </c>
      <c r="H181">
        <v>935</v>
      </c>
      <c r="I181">
        <v>830</v>
      </c>
      <c r="J181">
        <v>935</v>
      </c>
      <c r="K181" t="s">
        <v>122</v>
      </c>
      <c r="L181">
        <v>0</v>
      </c>
      <c r="M181">
        <v>0</v>
      </c>
    </row>
    <row r="182" spans="1:13" x14ac:dyDescent="0.25">
      <c r="A182">
        <v>43</v>
      </c>
      <c r="B182" s="33">
        <v>46132</v>
      </c>
      <c r="C182" t="s">
        <v>115</v>
      </c>
      <c r="D182" t="s">
        <v>114</v>
      </c>
      <c r="E182" t="s">
        <v>124</v>
      </c>
      <c r="F182">
        <v>1205</v>
      </c>
      <c r="G182" t="s">
        <v>108</v>
      </c>
      <c r="H182">
        <v>1315</v>
      </c>
      <c r="I182">
        <v>1205</v>
      </c>
      <c r="J182">
        <v>1315</v>
      </c>
      <c r="K182" t="s">
        <v>122</v>
      </c>
      <c r="L182">
        <v>0</v>
      </c>
      <c r="M182">
        <v>0</v>
      </c>
    </row>
    <row r="183" spans="1:13" x14ac:dyDescent="0.25">
      <c r="A183">
        <v>45</v>
      </c>
      <c r="B183" s="33">
        <v>46132</v>
      </c>
      <c r="C183" t="s">
        <v>115</v>
      </c>
      <c r="D183" t="s">
        <v>114</v>
      </c>
      <c r="E183" t="s">
        <v>124</v>
      </c>
      <c r="F183">
        <v>1540</v>
      </c>
      <c r="G183" t="s">
        <v>108</v>
      </c>
      <c r="H183">
        <v>1650</v>
      </c>
      <c r="I183">
        <v>1540</v>
      </c>
      <c r="J183">
        <v>1650</v>
      </c>
      <c r="K183" t="s">
        <v>122</v>
      </c>
      <c r="L183">
        <v>0</v>
      </c>
      <c r="M183">
        <v>0</v>
      </c>
    </row>
    <row r="184" spans="1:13" x14ac:dyDescent="0.25">
      <c r="A184">
        <v>47</v>
      </c>
      <c r="B184" s="33">
        <v>46132</v>
      </c>
      <c r="C184" t="s">
        <v>115</v>
      </c>
      <c r="D184" t="s">
        <v>114</v>
      </c>
      <c r="E184" t="s">
        <v>124</v>
      </c>
      <c r="F184">
        <v>1905</v>
      </c>
      <c r="G184" t="s">
        <v>108</v>
      </c>
      <c r="H184">
        <v>2005</v>
      </c>
      <c r="I184">
        <v>1905</v>
      </c>
      <c r="J184">
        <v>2005</v>
      </c>
      <c r="K184" t="s">
        <v>122</v>
      </c>
      <c r="L184">
        <v>0</v>
      </c>
      <c r="M184">
        <v>0</v>
      </c>
    </row>
    <row r="185" spans="1:13" x14ac:dyDescent="0.25">
      <c r="A185">
        <v>613</v>
      </c>
      <c r="B185" s="33">
        <v>46132</v>
      </c>
      <c r="C185" t="s">
        <v>115</v>
      </c>
      <c r="D185" t="s">
        <v>107</v>
      </c>
      <c r="E185" t="s">
        <v>158</v>
      </c>
      <c r="F185">
        <v>1520</v>
      </c>
      <c r="G185" t="s">
        <v>108</v>
      </c>
      <c r="H185">
        <v>1630</v>
      </c>
      <c r="I185">
        <v>1520</v>
      </c>
      <c r="J185">
        <v>1630</v>
      </c>
      <c r="K185" t="s">
        <v>122</v>
      </c>
      <c r="L185">
        <v>0</v>
      </c>
      <c r="M185">
        <v>0</v>
      </c>
    </row>
    <row r="186" spans="1:13" x14ac:dyDescent="0.25">
      <c r="A186">
        <v>587</v>
      </c>
      <c r="B186" s="33">
        <v>46132</v>
      </c>
      <c r="C186" t="s">
        <v>115</v>
      </c>
      <c r="D186" t="s">
        <v>114</v>
      </c>
      <c r="E186" t="s">
        <v>156</v>
      </c>
      <c r="F186">
        <v>940</v>
      </c>
      <c r="G186" t="s">
        <v>108</v>
      </c>
      <c r="H186">
        <v>1100</v>
      </c>
      <c r="I186">
        <v>940</v>
      </c>
      <c r="J186">
        <v>1100</v>
      </c>
      <c r="K186" t="s">
        <v>122</v>
      </c>
      <c r="L186">
        <v>0</v>
      </c>
      <c r="M186">
        <v>0</v>
      </c>
    </row>
    <row r="187" spans="1:13" x14ac:dyDescent="0.25">
      <c r="A187">
        <v>585</v>
      </c>
      <c r="B187" s="33">
        <v>46132</v>
      </c>
      <c r="C187" t="s">
        <v>115</v>
      </c>
      <c r="D187" t="s">
        <v>114</v>
      </c>
      <c r="E187" t="s">
        <v>156</v>
      </c>
      <c r="F187">
        <v>2115</v>
      </c>
      <c r="G187" t="s">
        <v>108</v>
      </c>
      <c r="H187">
        <v>2235</v>
      </c>
      <c r="I187">
        <v>2115</v>
      </c>
      <c r="J187">
        <v>2235</v>
      </c>
      <c r="K187" t="s">
        <v>122</v>
      </c>
      <c r="L187">
        <v>0</v>
      </c>
      <c r="M187">
        <v>0</v>
      </c>
    </row>
    <row r="188" spans="1:13" x14ac:dyDescent="0.25">
      <c r="A188">
        <v>310</v>
      </c>
      <c r="B188" s="33">
        <v>46132</v>
      </c>
      <c r="C188" t="s">
        <v>115</v>
      </c>
      <c r="D188" t="s">
        <v>197</v>
      </c>
      <c r="E188" t="s">
        <v>133</v>
      </c>
      <c r="F188">
        <v>25</v>
      </c>
      <c r="G188" t="s">
        <v>108</v>
      </c>
      <c r="H188">
        <v>510</v>
      </c>
      <c r="I188">
        <v>25</v>
      </c>
      <c r="J188">
        <v>510</v>
      </c>
      <c r="K188" t="s">
        <v>122</v>
      </c>
      <c r="L188">
        <v>0</v>
      </c>
      <c r="M188">
        <v>0</v>
      </c>
    </row>
    <row r="189" spans="1:13" x14ac:dyDescent="0.25">
      <c r="A189">
        <v>320</v>
      </c>
      <c r="B189" s="33">
        <v>46132</v>
      </c>
      <c r="C189" t="s">
        <v>115</v>
      </c>
      <c r="D189" t="s">
        <v>114</v>
      </c>
      <c r="E189" t="s">
        <v>133</v>
      </c>
      <c r="F189">
        <v>1330</v>
      </c>
      <c r="G189" t="s">
        <v>108</v>
      </c>
      <c r="H189">
        <v>1815</v>
      </c>
      <c r="I189">
        <v>1330</v>
      </c>
      <c r="J189">
        <v>1815</v>
      </c>
      <c r="K189" t="s">
        <v>122</v>
      </c>
      <c r="L189">
        <v>0</v>
      </c>
      <c r="M189">
        <v>0</v>
      </c>
    </row>
    <row r="190" spans="1:13" x14ac:dyDescent="0.25">
      <c r="A190">
        <v>3101</v>
      </c>
      <c r="B190" s="33">
        <v>46132</v>
      </c>
      <c r="C190" t="s">
        <v>115</v>
      </c>
      <c r="D190" t="s">
        <v>114</v>
      </c>
      <c r="E190" t="s">
        <v>133</v>
      </c>
      <c r="F190">
        <v>2340</v>
      </c>
      <c r="G190" t="s">
        <v>108</v>
      </c>
      <c r="H190">
        <v>425</v>
      </c>
      <c r="I190">
        <v>2340</v>
      </c>
      <c r="J190">
        <v>425</v>
      </c>
      <c r="K190" t="s">
        <v>122</v>
      </c>
      <c r="L190">
        <v>0</v>
      </c>
      <c r="M190">
        <v>0</v>
      </c>
    </row>
    <row r="191" spans="1:13" x14ac:dyDescent="0.25">
      <c r="A191">
        <v>416</v>
      </c>
      <c r="B191" s="33">
        <v>46132</v>
      </c>
      <c r="C191" t="s">
        <v>115</v>
      </c>
      <c r="D191" t="s">
        <v>116</v>
      </c>
      <c r="E191" t="s">
        <v>145</v>
      </c>
      <c r="F191">
        <v>1320</v>
      </c>
      <c r="G191" t="s">
        <v>108</v>
      </c>
      <c r="H191">
        <v>1430</v>
      </c>
      <c r="I191">
        <v>1320</v>
      </c>
      <c r="J191">
        <v>1430</v>
      </c>
      <c r="K191" t="s">
        <v>122</v>
      </c>
      <c r="L191">
        <v>0</v>
      </c>
      <c r="M191">
        <v>0</v>
      </c>
    </row>
    <row r="192" spans="1:13" x14ac:dyDescent="0.25">
      <c r="A192">
        <v>418</v>
      </c>
      <c r="B192" s="33">
        <v>46132</v>
      </c>
      <c r="C192" t="s">
        <v>115</v>
      </c>
      <c r="D192" t="s">
        <v>116</v>
      </c>
      <c r="E192" t="s">
        <v>145</v>
      </c>
      <c r="F192">
        <v>2055</v>
      </c>
      <c r="G192" t="s">
        <v>108</v>
      </c>
      <c r="H192">
        <v>2205</v>
      </c>
      <c r="I192">
        <v>2055</v>
      </c>
      <c r="J192">
        <v>2205</v>
      </c>
      <c r="K192" t="s">
        <v>122</v>
      </c>
      <c r="L192">
        <v>0</v>
      </c>
      <c r="M192">
        <v>0</v>
      </c>
    </row>
    <row r="193" spans="1:13" x14ac:dyDescent="0.25">
      <c r="A193">
        <v>346</v>
      </c>
      <c r="B193" s="33">
        <v>46132</v>
      </c>
      <c r="C193" t="s">
        <v>115</v>
      </c>
      <c r="D193">
        <v>788</v>
      </c>
      <c r="E193" t="s">
        <v>184</v>
      </c>
      <c r="F193">
        <v>2340</v>
      </c>
      <c r="G193" t="s">
        <v>108</v>
      </c>
      <c r="H193">
        <v>610</v>
      </c>
      <c r="I193">
        <v>2340</v>
      </c>
      <c r="J193">
        <v>610</v>
      </c>
      <c r="K193" t="s">
        <v>122</v>
      </c>
      <c r="L193">
        <v>0</v>
      </c>
      <c r="M193">
        <v>0</v>
      </c>
    </row>
    <row r="194" spans="1:13" x14ac:dyDescent="0.25">
      <c r="A194">
        <v>911</v>
      </c>
      <c r="B194" s="33">
        <v>46132</v>
      </c>
      <c r="C194" t="s">
        <v>115</v>
      </c>
      <c r="D194" t="s">
        <v>120</v>
      </c>
      <c r="E194" t="s">
        <v>174</v>
      </c>
      <c r="F194">
        <v>1230</v>
      </c>
      <c r="G194" t="s">
        <v>108</v>
      </c>
      <c r="H194">
        <v>600</v>
      </c>
      <c r="I194">
        <v>1230</v>
      </c>
      <c r="J194">
        <v>600</v>
      </c>
      <c r="K194" t="s">
        <v>122</v>
      </c>
      <c r="L194">
        <v>0</v>
      </c>
      <c r="M194">
        <v>0</v>
      </c>
    </row>
    <row r="195" spans="1:13" x14ac:dyDescent="0.25">
      <c r="A195">
        <v>917</v>
      </c>
      <c r="B195" s="33">
        <v>46132</v>
      </c>
      <c r="C195" t="s">
        <v>115</v>
      </c>
      <c r="D195" t="s">
        <v>118</v>
      </c>
      <c r="E195" t="s">
        <v>174</v>
      </c>
      <c r="F195">
        <v>2125</v>
      </c>
      <c r="G195" t="s">
        <v>108</v>
      </c>
      <c r="H195">
        <v>1500</v>
      </c>
      <c r="I195">
        <v>2125</v>
      </c>
      <c r="J195">
        <v>1500</v>
      </c>
      <c r="K195" t="s">
        <v>122</v>
      </c>
      <c r="L195">
        <v>0</v>
      </c>
      <c r="M195">
        <v>0</v>
      </c>
    </row>
    <row r="196" spans="1:13" x14ac:dyDescent="0.25">
      <c r="A196">
        <v>338</v>
      </c>
      <c r="B196" s="33">
        <v>46132</v>
      </c>
      <c r="C196" t="s">
        <v>115</v>
      </c>
      <c r="D196" t="s">
        <v>186</v>
      </c>
      <c r="E196" t="s">
        <v>140</v>
      </c>
      <c r="F196">
        <v>110</v>
      </c>
      <c r="G196" t="s">
        <v>108</v>
      </c>
      <c r="H196">
        <v>610</v>
      </c>
      <c r="I196">
        <v>110</v>
      </c>
      <c r="J196">
        <v>610</v>
      </c>
      <c r="K196" t="s">
        <v>122</v>
      </c>
      <c r="L196">
        <v>0</v>
      </c>
      <c r="M196">
        <v>0</v>
      </c>
    </row>
    <row r="197" spans="1:13" x14ac:dyDescent="0.25">
      <c r="A197">
        <v>466</v>
      </c>
      <c r="B197" s="33">
        <v>46132</v>
      </c>
      <c r="C197" t="s">
        <v>115</v>
      </c>
      <c r="D197" t="s">
        <v>119</v>
      </c>
      <c r="E197" t="s">
        <v>149</v>
      </c>
      <c r="F197">
        <v>1330</v>
      </c>
      <c r="G197" t="s">
        <v>108</v>
      </c>
      <c r="H197">
        <v>2000</v>
      </c>
      <c r="I197">
        <v>1330</v>
      </c>
      <c r="J197">
        <v>2000</v>
      </c>
      <c r="K197" t="s">
        <v>122</v>
      </c>
      <c r="L197">
        <v>0</v>
      </c>
      <c r="M197">
        <v>0</v>
      </c>
    </row>
    <row r="198" spans="1:13" x14ac:dyDescent="0.25">
      <c r="A198">
        <v>462</v>
      </c>
      <c r="B198" s="33">
        <v>46132</v>
      </c>
      <c r="C198" t="s">
        <v>115</v>
      </c>
      <c r="D198">
        <v>359</v>
      </c>
      <c r="E198" t="s">
        <v>149</v>
      </c>
      <c r="F198">
        <v>2330</v>
      </c>
      <c r="G198" t="s">
        <v>108</v>
      </c>
      <c r="H198">
        <v>600</v>
      </c>
      <c r="I198">
        <v>2330</v>
      </c>
      <c r="J198">
        <v>600</v>
      </c>
      <c r="K198" t="s">
        <v>122</v>
      </c>
      <c r="L198">
        <v>0</v>
      </c>
      <c r="M198">
        <v>0</v>
      </c>
    </row>
    <row r="199" spans="1:13" x14ac:dyDescent="0.25">
      <c r="A199">
        <v>621</v>
      </c>
      <c r="B199" s="33">
        <v>46132</v>
      </c>
      <c r="C199" t="s">
        <v>115</v>
      </c>
      <c r="D199" t="s">
        <v>114</v>
      </c>
      <c r="E199" t="s">
        <v>161</v>
      </c>
      <c r="F199">
        <v>1255</v>
      </c>
      <c r="G199" t="s">
        <v>108</v>
      </c>
      <c r="H199">
        <v>1525</v>
      </c>
      <c r="I199">
        <v>1255</v>
      </c>
      <c r="J199">
        <v>1525</v>
      </c>
      <c r="K199" t="s">
        <v>122</v>
      </c>
      <c r="L199">
        <v>0</v>
      </c>
      <c r="M199">
        <v>0</v>
      </c>
    </row>
    <row r="200" spans="1:13" x14ac:dyDescent="0.25">
      <c r="A200">
        <v>625</v>
      </c>
      <c r="B200" s="33">
        <v>46132</v>
      </c>
      <c r="C200" t="s">
        <v>115</v>
      </c>
      <c r="D200" t="s">
        <v>114</v>
      </c>
      <c r="E200" t="s">
        <v>161</v>
      </c>
      <c r="F200">
        <v>1955</v>
      </c>
      <c r="G200" t="s">
        <v>108</v>
      </c>
      <c r="H200">
        <v>2215</v>
      </c>
      <c r="I200">
        <v>1955</v>
      </c>
      <c r="J200">
        <v>2215</v>
      </c>
      <c r="K200" t="s">
        <v>122</v>
      </c>
      <c r="L200">
        <v>0</v>
      </c>
      <c r="M200">
        <v>0</v>
      </c>
    </row>
    <row r="201" spans="1:13" x14ac:dyDescent="0.25">
      <c r="A201">
        <v>925</v>
      </c>
      <c r="B201" s="33">
        <v>46132</v>
      </c>
      <c r="C201" t="s">
        <v>115</v>
      </c>
      <c r="D201" t="s">
        <v>151</v>
      </c>
      <c r="E201" t="s">
        <v>176</v>
      </c>
      <c r="F201">
        <v>1425</v>
      </c>
      <c r="G201" t="s">
        <v>108</v>
      </c>
      <c r="H201">
        <v>605</v>
      </c>
      <c r="I201">
        <v>1425</v>
      </c>
      <c r="J201">
        <v>605</v>
      </c>
      <c r="K201" t="s">
        <v>122</v>
      </c>
      <c r="L201">
        <v>0</v>
      </c>
      <c r="M201">
        <v>0</v>
      </c>
    </row>
    <row r="202" spans="1:13" x14ac:dyDescent="0.25">
      <c r="A202">
        <v>941</v>
      </c>
      <c r="B202" s="33">
        <v>46132</v>
      </c>
      <c r="C202" t="s">
        <v>115</v>
      </c>
      <c r="D202" t="s">
        <v>116</v>
      </c>
      <c r="E202" t="s">
        <v>179</v>
      </c>
      <c r="F202">
        <v>1405</v>
      </c>
      <c r="G202" t="s">
        <v>108</v>
      </c>
      <c r="H202">
        <v>555</v>
      </c>
      <c r="I202">
        <v>1405</v>
      </c>
      <c r="J202">
        <v>555</v>
      </c>
      <c r="K202" t="s">
        <v>122</v>
      </c>
      <c r="L202">
        <v>0</v>
      </c>
      <c r="M202">
        <v>0</v>
      </c>
    </row>
    <row r="203" spans="1:13" x14ac:dyDescent="0.25">
      <c r="A203">
        <v>645</v>
      </c>
      <c r="B203" s="33">
        <v>46132</v>
      </c>
      <c r="C203" t="s">
        <v>115</v>
      </c>
      <c r="D203">
        <v>359</v>
      </c>
      <c r="E203" t="s">
        <v>166</v>
      </c>
      <c r="F203">
        <v>1100</v>
      </c>
      <c r="G203" t="s">
        <v>108</v>
      </c>
      <c r="H203">
        <v>1500</v>
      </c>
      <c r="I203">
        <v>1100</v>
      </c>
      <c r="J203">
        <v>1500</v>
      </c>
      <c r="K203" t="s">
        <v>122</v>
      </c>
      <c r="L203">
        <v>0</v>
      </c>
      <c r="M203">
        <v>0</v>
      </c>
    </row>
    <row r="204" spans="1:13" x14ac:dyDescent="0.25">
      <c r="A204">
        <v>641</v>
      </c>
      <c r="B204" s="33">
        <v>46132</v>
      </c>
      <c r="C204" t="s">
        <v>115</v>
      </c>
      <c r="D204" t="s">
        <v>143</v>
      </c>
      <c r="E204" t="s">
        <v>165</v>
      </c>
      <c r="F204">
        <v>1050</v>
      </c>
      <c r="G204" t="s">
        <v>108</v>
      </c>
      <c r="H204">
        <v>1520</v>
      </c>
      <c r="I204">
        <v>1050</v>
      </c>
      <c r="J204">
        <v>1520</v>
      </c>
      <c r="K204" t="s">
        <v>122</v>
      </c>
      <c r="L204">
        <v>0</v>
      </c>
      <c r="M204">
        <v>0</v>
      </c>
    </row>
    <row r="205" spans="1:13" x14ac:dyDescent="0.25">
      <c r="A205">
        <v>643</v>
      </c>
      <c r="B205" s="33">
        <v>46132</v>
      </c>
      <c r="C205" t="s">
        <v>115</v>
      </c>
      <c r="D205">
        <v>359</v>
      </c>
      <c r="E205" t="s">
        <v>165</v>
      </c>
      <c r="F205">
        <v>1200</v>
      </c>
      <c r="G205" t="s">
        <v>108</v>
      </c>
      <c r="H205">
        <v>1630</v>
      </c>
      <c r="I205">
        <v>1200</v>
      </c>
      <c r="J205">
        <v>1630</v>
      </c>
      <c r="K205" t="s">
        <v>122</v>
      </c>
      <c r="L205">
        <v>0</v>
      </c>
      <c r="M205">
        <v>0</v>
      </c>
    </row>
    <row r="206" spans="1:13" x14ac:dyDescent="0.25">
      <c r="A206">
        <v>677</v>
      </c>
      <c r="B206" s="33">
        <v>46132</v>
      </c>
      <c r="C206" t="s">
        <v>115</v>
      </c>
      <c r="D206" t="s">
        <v>120</v>
      </c>
      <c r="E206" t="s">
        <v>165</v>
      </c>
      <c r="F206">
        <v>1725</v>
      </c>
      <c r="G206" t="s">
        <v>108</v>
      </c>
      <c r="H206">
        <v>2155</v>
      </c>
      <c r="I206">
        <v>1725</v>
      </c>
      <c r="J206">
        <v>2155</v>
      </c>
      <c r="K206" t="s">
        <v>122</v>
      </c>
      <c r="L206">
        <v>0</v>
      </c>
      <c r="M206">
        <v>0</v>
      </c>
    </row>
    <row r="207" spans="1:13" x14ac:dyDescent="0.25">
      <c r="A207">
        <v>955</v>
      </c>
      <c r="B207" s="33">
        <v>46132</v>
      </c>
      <c r="C207" t="s">
        <v>115</v>
      </c>
      <c r="D207">
        <v>359</v>
      </c>
      <c r="E207" t="s">
        <v>181</v>
      </c>
      <c r="F207">
        <v>1345</v>
      </c>
      <c r="G207" t="s">
        <v>108</v>
      </c>
      <c r="H207">
        <v>615</v>
      </c>
      <c r="I207">
        <v>1345</v>
      </c>
      <c r="J207">
        <v>615</v>
      </c>
      <c r="K207" t="s">
        <v>122</v>
      </c>
      <c r="L207">
        <v>0</v>
      </c>
      <c r="M207">
        <v>0</v>
      </c>
    </row>
    <row r="208" spans="1:13" x14ac:dyDescent="0.25">
      <c r="A208">
        <v>675</v>
      </c>
      <c r="B208" s="33">
        <v>46132</v>
      </c>
      <c r="C208" t="s">
        <v>115</v>
      </c>
      <c r="D208" t="s">
        <v>185</v>
      </c>
      <c r="E208" t="s">
        <v>159</v>
      </c>
      <c r="F208">
        <v>645</v>
      </c>
      <c r="G208" t="s">
        <v>108</v>
      </c>
      <c r="H208">
        <v>1055</v>
      </c>
      <c r="I208">
        <v>645</v>
      </c>
      <c r="J208">
        <v>1055</v>
      </c>
      <c r="K208" t="s">
        <v>122</v>
      </c>
      <c r="L208">
        <v>0</v>
      </c>
      <c r="M208">
        <v>0</v>
      </c>
    </row>
    <row r="209" spans="1:13" x14ac:dyDescent="0.25">
      <c r="A209">
        <v>615</v>
      </c>
      <c r="B209" s="33">
        <v>46132</v>
      </c>
      <c r="C209" t="s">
        <v>115</v>
      </c>
      <c r="D209">
        <v>359</v>
      </c>
      <c r="E209" t="s">
        <v>159</v>
      </c>
      <c r="F209">
        <v>1705</v>
      </c>
      <c r="G209" t="s">
        <v>108</v>
      </c>
      <c r="H209">
        <v>2115</v>
      </c>
      <c r="I209">
        <v>1705</v>
      </c>
      <c r="J209">
        <v>2115</v>
      </c>
      <c r="K209" t="s">
        <v>122</v>
      </c>
      <c r="L209">
        <v>0</v>
      </c>
      <c r="M209">
        <v>0</v>
      </c>
    </row>
    <row r="210" spans="1:13" x14ac:dyDescent="0.25">
      <c r="A210">
        <v>426</v>
      </c>
      <c r="B210" s="33">
        <v>46132</v>
      </c>
      <c r="C210" t="s">
        <v>115</v>
      </c>
      <c r="D210" t="s">
        <v>114</v>
      </c>
      <c r="E210" t="s">
        <v>146</v>
      </c>
      <c r="F210">
        <v>805</v>
      </c>
      <c r="G210" t="s">
        <v>108</v>
      </c>
      <c r="H210">
        <v>855</v>
      </c>
      <c r="I210">
        <v>805</v>
      </c>
      <c r="J210">
        <v>855</v>
      </c>
      <c r="K210" t="s">
        <v>122</v>
      </c>
      <c r="L210">
        <v>0</v>
      </c>
      <c r="M210">
        <v>0</v>
      </c>
    </row>
    <row r="211" spans="1:13" x14ac:dyDescent="0.25">
      <c r="A211">
        <v>482</v>
      </c>
      <c r="B211" s="33">
        <v>46132</v>
      </c>
      <c r="C211" t="s">
        <v>115</v>
      </c>
      <c r="D211">
        <v>789</v>
      </c>
      <c r="E211" t="s">
        <v>152</v>
      </c>
      <c r="F211">
        <v>1620</v>
      </c>
      <c r="G211" t="s">
        <v>108</v>
      </c>
      <c r="H211">
        <v>2220</v>
      </c>
      <c r="I211">
        <v>1620</v>
      </c>
      <c r="J211">
        <v>2220</v>
      </c>
      <c r="K211" t="s">
        <v>122</v>
      </c>
      <c r="L211">
        <v>0</v>
      </c>
      <c r="M211">
        <v>0</v>
      </c>
    </row>
    <row r="212" spans="1:13" x14ac:dyDescent="0.25">
      <c r="A212">
        <v>663</v>
      </c>
      <c r="B212" s="33">
        <v>46132</v>
      </c>
      <c r="C212" t="s">
        <v>115</v>
      </c>
      <c r="D212" t="s">
        <v>187</v>
      </c>
      <c r="E212" t="s">
        <v>170</v>
      </c>
      <c r="F212">
        <v>730</v>
      </c>
      <c r="G212" t="s">
        <v>108</v>
      </c>
      <c r="H212">
        <v>1105</v>
      </c>
      <c r="I212">
        <v>730</v>
      </c>
      <c r="J212">
        <v>1105</v>
      </c>
      <c r="K212" t="s">
        <v>122</v>
      </c>
      <c r="L212">
        <v>0</v>
      </c>
      <c r="M212">
        <v>0</v>
      </c>
    </row>
    <row r="213" spans="1:13" x14ac:dyDescent="0.25">
      <c r="A213">
        <v>665</v>
      </c>
      <c r="B213" s="33">
        <v>46132</v>
      </c>
      <c r="C213" t="s">
        <v>115</v>
      </c>
      <c r="D213" t="s">
        <v>151</v>
      </c>
      <c r="E213" t="s">
        <v>170</v>
      </c>
      <c r="F213">
        <v>1725</v>
      </c>
      <c r="G213" t="s">
        <v>108</v>
      </c>
      <c r="H213">
        <v>2055</v>
      </c>
      <c r="I213">
        <v>1725</v>
      </c>
      <c r="J213">
        <v>2055</v>
      </c>
      <c r="K213" t="s">
        <v>122</v>
      </c>
      <c r="L213">
        <v>0</v>
      </c>
      <c r="M213">
        <v>0</v>
      </c>
    </row>
    <row r="214" spans="1:13" x14ac:dyDescent="0.25">
      <c r="A214">
        <v>302</v>
      </c>
      <c r="B214" s="33">
        <v>46132</v>
      </c>
      <c r="C214" t="s">
        <v>115</v>
      </c>
      <c r="D214" t="s">
        <v>114</v>
      </c>
      <c r="E214" t="s">
        <v>131</v>
      </c>
      <c r="F214">
        <v>1125</v>
      </c>
      <c r="G214" t="s">
        <v>108</v>
      </c>
      <c r="H214">
        <v>1325</v>
      </c>
      <c r="I214">
        <v>1125</v>
      </c>
      <c r="J214">
        <v>1325</v>
      </c>
      <c r="K214" t="s">
        <v>122</v>
      </c>
      <c r="L214">
        <v>0</v>
      </c>
      <c r="M214">
        <v>0</v>
      </c>
    </row>
    <row r="215" spans="1:13" x14ac:dyDescent="0.25">
      <c r="A215">
        <v>304</v>
      </c>
      <c r="B215" s="33">
        <v>46132</v>
      </c>
      <c r="C215" t="s">
        <v>115</v>
      </c>
      <c r="D215" t="s">
        <v>114</v>
      </c>
      <c r="E215" t="s">
        <v>131</v>
      </c>
      <c r="F215">
        <v>1900</v>
      </c>
      <c r="G215" t="s">
        <v>108</v>
      </c>
      <c r="H215">
        <v>2100</v>
      </c>
      <c r="I215">
        <v>1900</v>
      </c>
      <c r="J215">
        <v>2100</v>
      </c>
      <c r="K215" t="s">
        <v>122</v>
      </c>
      <c r="L215">
        <v>0</v>
      </c>
      <c r="M215">
        <v>0</v>
      </c>
    </row>
    <row r="216" spans="1:13" x14ac:dyDescent="0.25">
      <c r="A216">
        <v>551</v>
      </c>
      <c r="B216" s="33">
        <v>46132</v>
      </c>
      <c r="C216" t="s">
        <v>115</v>
      </c>
      <c r="D216" t="s">
        <v>114</v>
      </c>
      <c r="E216" t="s">
        <v>153</v>
      </c>
      <c r="F216">
        <v>1005</v>
      </c>
      <c r="G216" t="s">
        <v>108</v>
      </c>
      <c r="H216">
        <v>1130</v>
      </c>
      <c r="I216">
        <v>1005</v>
      </c>
      <c r="J216">
        <v>1130</v>
      </c>
      <c r="K216" t="s">
        <v>122</v>
      </c>
      <c r="L216">
        <v>0</v>
      </c>
      <c r="M216">
        <v>0</v>
      </c>
    </row>
    <row r="217" spans="1:13" x14ac:dyDescent="0.25">
      <c r="A217">
        <v>557</v>
      </c>
      <c r="B217" s="33">
        <v>46132</v>
      </c>
      <c r="C217" t="s">
        <v>115</v>
      </c>
      <c r="D217" t="s">
        <v>114</v>
      </c>
      <c r="E217" t="s">
        <v>153</v>
      </c>
      <c r="F217">
        <v>2010</v>
      </c>
      <c r="G217" t="s">
        <v>108</v>
      </c>
      <c r="H217">
        <v>2135</v>
      </c>
      <c r="I217">
        <v>2010</v>
      </c>
      <c r="J217">
        <v>2135</v>
      </c>
      <c r="K217" t="s">
        <v>122</v>
      </c>
      <c r="L217">
        <v>0</v>
      </c>
      <c r="M217">
        <v>0</v>
      </c>
    </row>
    <row r="218" spans="1:13" x14ac:dyDescent="0.25">
      <c r="A218">
        <v>402</v>
      </c>
      <c r="B218" s="33">
        <v>46132</v>
      </c>
      <c r="C218" t="s">
        <v>115</v>
      </c>
      <c r="D218" t="s">
        <v>107</v>
      </c>
      <c r="E218" t="s">
        <v>144</v>
      </c>
      <c r="F218">
        <v>800</v>
      </c>
      <c r="G218" t="s">
        <v>108</v>
      </c>
      <c r="H218">
        <v>920</v>
      </c>
      <c r="I218">
        <v>800</v>
      </c>
      <c r="J218">
        <v>920</v>
      </c>
      <c r="K218" t="s">
        <v>122</v>
      </c>
      <c r="L218">
        <v>0</v>
      </c>
      <c r="M218">
        <v>0</v>
      </c>
    </row>
    <row r="219" spans="1:13" x14ac:dyDescent="0.25">
      <c r="A219">
        <v>404</v>
      </c>
      <c r="B219" s="33">
        <v>46132</v>
      </c>
      <c r="C219" t="s">
        <v>115</v>
      </c>
      <c r="D219" t="s">
        <v>151</v>
      </c>
      <c r="E219" t="s">
        <v>144</v>
      </c>
      <c r="F219">
        <v>1225</v>
      </c>
      <c r="G219" t="s">
        <v>108</v>
      </c>
      <c r="H219">
        <v>1345</v>
      </c>
      <c r="I219">
        <v>1225</v>
      </c>
      <c r="J219">
        <v>1345</v>
      </c>
      <c r="K219" t="s">
        <v>122</v>
      </c>
      <c r="L219">
        <v>0</v>
      </c>
      <c r="M219">
        <v>0</v>
      </c>
    </row>
    <row r="220" spans="1:13" x14ac:dyDescent="0.25">
      <c r="A220">
        <v>414</v>
      </c>
      <c r="B220" s="33">
        <v>46132</v>
      </c>
      <c r="C220" t="s">
        <v>115</v>
      </c>
      <c r="D220" t="s">
        <v>114</v>
      </c>
      <c r="E220" t="s">
        <v>144</v>
      </c>
      <c r="F220">
        <v>1555</v>
      </c>
      <c r="G220" t="s">
        <v>108</v>
      </c>
      <c r="H220">
        <v>1715</v>
      </c>
      <c r="I220">
        <v>1555</v>
      </c>
      <c r="J220">
        <v>1715</v>
      </c>
      <c r="K220" t="s">
        <v>122</v>
      </c>
      <c r="L220">
        <v>0</v>
      </c>
      <c r="M220">
        <v>0</v>
      </c>
    </row>
    <row r="221" spans="1:13" x14ac:dyDescent="0.25">
      <c r="A221">
        <v>408</v>
      </c>
      <c r="B221" s="33">
        <v>46132</v>
      </c>
      <c r="C221" t="s">
        <v>115</v>
      </c>
      <c r="D221" t="s">
        <v>129</v>
      </c>
      <c r="E221" t="s">
        <v>144</v>
      </c>
      <c r="F221">
        <v>1815</v>
      </c>
      <c r="G221" t="s">
        <v>108</v>
      </c>
      <c r="H221">
        <v>1935</v>
      </c>
      <c r="I221">
        <v>1815</v>
      </c>
      <c r="J221">
        <v>1935</v>
      </c>
      <c r="K221" t="s">
        <v>122</v>
      </c>
      <c r="L221">
        <v>0</v>
      </c>
      <c r="M221">
        <v>0</v>
      </c>
    </row>
    <row r="222" spans="1:13" x14ac:dyDescent="0.25">
      <c r="A222">
        <v>410</v>
      </c>
      <c r="B222" s="33">
        <v>46132</v>
      </c>
      <c r="C222" t="s">
        <v>115</v>
      </c>
      <c r="D222">
        <v>359</v>
      </c>
      <c r="E222" t="s">
        <v>144</v>
      </c>
      <c r="F222">
        <v>2050</v>
      </c>
      <c r="G222" t="s">
        <v>108</v>
      </c>
      <c r="H222">
        <v>2210</v>
      </c>
      <c r="I222">
        <v>2050</v>
      </c>
      <c r="J222">
        <v>2210</v>
      </c>
      <c r="K222" t="s">
        <v>122</v>
      </c>
      <c r="L222">
        <v>0</v>
      </c>
      <c r="M222">
        <v>0</v>
      </c>
    </row>
    <row r="223" spans="1:13" x14ac:dyDescent="0.25">
      <c r="A223">
        <v>476</v>
      </c>
      <c r="B223" s="33">
        <v>46132</v>
      </c>
      <c r="C223" t="s">
        <v>115</v>
      </c>
      <c r="D223" t="s">
        <v>119</v>
      </c>
      <c r="E223" t="s">
        <v>150</v>
      </c>
      <c r="F223">
        <v>1000</v>
      </c>
      <c r="G223" t="s">
        <v>108</v>
      </c>
      <c r="H223">
        <v>1620</v>
      </c>
      <c r="I223">
        <v>1000</v>
      </c>
      <c r="J223">
        <v>1620</v>
      </c>
      <c r="K223" t="s">
        <v>122</v>
      </c>
      <c r="L223">
        <v>0</v>
      </c>
      <c r="M223">
        <v>0</v>
      </c>
    </row>
    <row r="224" spans="1:13" x14ac:dyDescent="0.25">
      <c r="A224">
        <v>472</v>
      </c>
      <c r="B224" s="33">
        <v>46132</v>
      </c>
      <c r="C224" t="s">
        <v>115</v>
      </c>
      <c r="D224">
        <v>359</v>
      </c>
      <c r="E224" t="s">
        <v>150</v>
      </c>
      <c r="F224">
        <v>1435</v>
      </c>
      <c r="G224" t="s">
        <v>108</v>
      </c>
      <c r="H224">
        <v>2055</v>
      </c>
      <c r="I224">
        <v>1435</v>
      </c>
      <c r="J224">
        <v>2055</v>
      </c>
      <c r="K224" t="s">
        <v>122</v>
      </c>
      <c r="L224">
        <v>0</v>
      </c>
      <c r="M224">
        <v>0</v>
      </c>
    </row>
    <row r="225" spans="1:13" x14ac:dyDescent="0.25">
      <c r="A225">
        <v>619</v>
      </c>
      <c r="B225" s="33">
        <v>46132</v>
      </c>
      <c r="C225" t="s">
        <v>115</v>
      </c>
      <c r="D225">
        <v>788</v>
      </c>
      <c r="E225" t="s">
        <v>160</v>
      </c>
      <c r="F225">
        <v>1555</v>
      </c>
      <c r="G225" t="s">
        <v>108</v>
      </c>
      <c r="H225">
        <v>1800</v>
      </c>
      <c r="I225">
        <v>1555</v>
      </c>
      <c r="J225">
        <v>1800</v>
      </c>
      <c r="K225" t="s">
        <v>122</v>
      </c>
      <c r="L225">
        <v>0</v>
      </c>
      <c r="M225">
        <v>0</v>
      </c>
    </row>
    <row r="226" spans="1:13" x14ac:dyDescent="0.25">
      <c r="A226">
        <v>637</v>
      </c>
      <c r="B226" s="33">
        <v>46132</v>
      </c>
      <c r="C226" t="s">
        <v>115</v>
      </c>
      <c r="D226" t="s">
        <v>195</v>
      </c>
      <c r="E226" t="s">
        <v>164</v>
      </c>
      <c r="F226">
        <v>755</v>
      </c>
      <c r="G226" t="s">
        <v>108</v>
      </c>
      <c r="H226">
        <v>1040</v>
      </c>
      <c r="I226">
        <v>755</v>
      </c>
      <c r="J226">
        <v>1040</v>
      </c>
      <c r="K226" t="s">
        <v>122</v>
      </c>
      <c r="L226">
        <v>0</v>
      </c>
      <c r="M226">
        <v>0</v>
      </c>
    </row>
    <row r="227" spans="1:13" x14ac:dyDescent="0.25">
      <c r="A227">
        <v>633</v>
      </c>
      <c r="B227" s="33">
        <v>46132</v>
      </c>
      <c r="C227" t="s">
        <v>115</v>
      </c>
      <c r="D227" t="s">
        <v>118</v>
      </c>
      <c r="E227" t="s">
        <v>164</v>
      </c>
      <c r="F227">
        <v>1405</v>
      </c>
      <c r="G227" t="s">
        <v>108</v>
      </c>
      <c r="H227">
        <v>1650</v>
      </c>
      <c r="I227">
        <v>1405</v>
      </c>
      <c r="J227">
        <v>1650</v>
      </c>
      <c r="K227" t="s">
        <v>122</v>
      </c>
      <c r="L227">
        <v>0</v>
      </c>
      <c r="M227">
        <v>0</v>
      </c>
    </row>
    <row r="228" spans="1:13" x14ac:dyDescent="0.25">
      <c r="A228">
        <v>635</v>
      </c>
      <c r="B228" s="33">
        <v>46132</v>
      </c>
      <c r="C228" t="s">
        <v>115</v>
      </c>
      <c r="D228" t="s">
        <v>142</v>
      </c>
      <c r="E228" t="s">
        <v>164</v>
      </c>
      <c r="F228">
        <v>1850</v>
      </c>
      <c r="G228" t="s">
        <v>108</v>
      </c>
      <c r="H228">
        <v>2135</v>
      </c>
      <c r="I228">
        <v>1850</v>
      </c>
      <c r="J228">
        <v>2135</v>
      </c>
      <c r="K228" t="s">
        <v>122</v>
      </c>
      <c r="L228">
        <v>0</v>
      </c>
      <c r="M228">
        <v>0</v>
      </c>
    </row>
    <row r="229" spans="1:13" x14ac:dyDescent="0.25">
      <c r="A229">
        <v>21</v>
      </c>
      <c r="B229" s="33">
        <v>46132</v>
      </c>
      <c r="C229" t="s">
        <v>115</v>
      </c>
      <c r="D229" t="s">
        <v>114</v>
      </c>
      <c r="E229" t="s">
        <v>123</v>
      </c>
      <c r="F229">
        <v>845</v>
      </c>
      <c r="G229" t="s">
        <v>108</v>
      </c>
      <c r="H229">
        <v>1000</v>
      </c>
      <c r="I229">
        <v>845</v>
      </c>
      <c r="J229">
        <v>1000</v>
      </c>
      <c r="K229" t="s">
        <v>122</v>
      </c>
      <c r="L229">
        <v>0</v>
      </c>
      <c r="M229">
        <v>0</v>
      </c>
    </row>
    <row r="230" spans="1:13" x14ac:dyDescent="0.25">
      <c r="A230">
        <v>29</v>
      </c>
      <c r="B230" s="33">
        <v>46132</v>
      </c>
      <c r="C230" t="s">
        <v>115</v>
      </c>
      <c r="D230" t="s">
        <v>114</v>
      </c>
      <c r="E230" t="s">
        <v>123</v>
      </c>
      <c r="F230">
        <v>1740</v>
      </c>
      <c r="G230" t="s">
        <v>108</v>
      </c>
      <c r="H230">
        <v>1855</v>
      </c>
      <c r="I230">
        <v>1740</v>
      </c>
      <c r="J230">
        <v>1855</v>
      </c>
      <c r="K230" t="s">
        <v>122</v>
      </c>
      <c r="L230">
        <v>0</v>
      </c>
      <c r="M230">
        <v>0</v>
      </c>
    </row>
    <row r="231" spans="1:13" x14ac:dyDescent="0.25">
      <c r="A231">
        <v>3</v>
      </c>
      <c r="B231" s="33">
        <v>46132</v>
      </c>
      <c r="C231" t="s">
        <v>115</v>
      </c>
      <c r="D231" t="s">
        <v>114</v>
      </c>
      <c r="E231" t="s">
        <v>121</v>
      </c>
      <c r="F231">
        <v>840</v>
      </c>
      <c r="G231" t="s">
        <v>108</v>
      </c>
      <c r="H231">
        <v>950</v>
      </c>
      <c r="I231">
        <v>840</v>
      </c>
      <c r="J231">
        <v>950</v>
      </c>
      <c r="K231" t="s">
        <v>122</v>
      </c>
      <c r="L231">
        <v>0</v>
      </c>
      <c r="M231">
        <v>0</v>
      </c>
    </row>
    <row r="232" spans="1:13" x14ac:dyDescent="0.25">
      <c r="A232">
        <v>5</v>
      </c>
      <c r="B232" s="33">
        <v>46132</v>
      </c>
      <c r="C232" t="s">
        <v>115</v>
      </c>
      <c r="D232" t="s">
        <v>114</v>
      </c>
      <c r="E232" t="s">
        <v>121</v>
      </c>
      <c r="F232">
        <v>1355</v>
      </c>
      <c r="G232" t="s">
        <v>108</v>
      </c>
      <c r="H232">
        <v>1505</v>
      </c>
      <c r="I232">
        <v>1355</v>
      </c>
      <c r="J232">
        <v>1505</v>
      </c>
      <c r="K232" t="s">
        <v>122</v>
      </c>
      <c r="L232">
        <v>0</v>
      </c>
      <c r="M232">
        <v>0</v>
      </c>
    </row>
    <row r="233" spans="1:13" x14ac:dyDescent="0.25">
      <c r="A233">
        <v>9</v>
      </c>
      <c r="B233" s="33">
        <v>46132</v>
      </c>
      <c r="C233" t="s">
        <v>115</v>
      </c>
      <c r="D233" t="s">
        <v>114</v>
      </c>
      <c r="E233" t="s">
        <v>121</v>
      </c>
      <c r="F233">
        <v>2125</v>
      </c>
      <c r="G233" t="s">
        <v>108</v>
      </c>
      <c r="H233">
        <v>2230</v>
      </c>
      <c r="I233">
        <v>2125</v>
      </c>
      <c r="J233">
        <v>2230</v>
      </c>
      <c r="K233" t="s">
        <v>122</v>
      </c>
      <c r="L233">
        <v>0</v>
      </c>
      <c r="M233">
        <v>0</v>
      </c>
    </row>
    <row r="234" spans="1:13" x14ac:dyDescent="0.25">
      <c r="A234">
        <v>571</v>
      </c>
      <c r="B234" s="33">
        <v>46132</v>
      </c>
      <c r="C234" t="s">
        <v>115</v>
      </c>
      <c r="D234" t="s">
        <v>114</v>
      </c>
      <c r="E234" t="s">
        <v>155</v>
      </c>
      <c r="F234">
        <v>1330</v>
      </c>
      <c r="G234" t="s">
        <v>108</v>
      </c>
      <c r="H234">
        <v>1450</v>
      </c>
      <c r="I234">
        <v>1330</v>
      </c>
      <c r="J234">
        <v>1450</v>
      </c>
      <c r="K234" t="s">
        <v>122</v>
      </c>
      <c r="L234">
        <v>0</v>
      </c>
      <c r="M234">
        <v>0</v>
      </c>
    </row>
    <row r="235" spans="1:13" x14ac:dyDescent="0.25">
      <c r="A235">
        <v>575</v>
      </c>
      <c r="B235" s="33">
        <v>46132</v>
      </c>
      <c r="C235" t="s">
        <v>115</v>
      </c>
      <c r="D235" t="s">
        <v>114</v>
      </c>
      <c r="E235" t="s">
        <v>155</v>
      </c>
      <c r="F235">
        <v>2030</v>
      </c>
      <c r="G235" t="s">
        <v>108</v>
      </c>
      <c r="H235">
        <v>2155</v>
      </c>
      <c r="I235">
        <v>2030</v>
      </c>
      <c r="J235">
        <v>2155</v>
      </c>
      <c r="K235" t="s">
        <v>122</v>
      </c>
      <c r="L235">
        <v>0</v>
      </c>
      <c r="M235">
        <v>0</v>
      </c>
    </row>
    <row r="236" spans="1:13" x14ac:dyDescent="0.25">
      <c r="A236">
        <v>971</v>
      </c>
      <c r="B236" s="33">
        <v>46132</v>
      </c>
      <c r="C236" t="s">
        <v>115</v>
      </c>
      <c r="D236" t="s">
        <v>118</v>
      </c>
      <c r="E236" t="s">
        <v>183</v>
      </c>
      <c r="F236">
        <v>1330</v>
      </c>
      <c r="G236" t="s">
        <v>108</v>
      </c>
      <c r="H236">
        <v>530</v>
      </c>
      <c r="I236">
        <v>1330</v>
      </c>
      <c r="J236">
        <v>530</v>
      </c>
      <c r="K236" t="s">
        <v>122</v>
      </c>
      <c r="L236">
        <v>0</v>
      </c>
      <c r="M236">
        <v>0</v>
      </c>
    </row>
    <row r="237" spans="1:13" x14ac:dyDescent="0.25">
      <c r="B237" s="33"/>
    </row>
    <row r="238" spans="1:13" x14ac:dyDescent="0.25">
      <c r="B238" s="33"/>
    </row>
    <row r="239" spans="1:13" x14ac:dyDescent="0.25">
      <c r="B239" s="33"/>
    </row>
    <row r="240" spans="1:13" x14ac:dyDescent="0.25">
      <c r="B240" s="33"/>
    </row>
  </sheetData>
  <sortState xmlns:xlrd2="http://schemas.microsoft.com/office/spreadsheetml/2017/richdata2" ref="A1:M240">
    <sortCondition ref="E1:E240"/>
    <sortCondition ref="F1:F24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235"/>
  <sheetViews>
    <sheetView workbookViewId="0"/>
  </sheetViews>
  <sheetFormatPr defaultRowHeight="15" x14ac:dyDescent="0.25"/>
  <cols>
    <col min="1" max="1" width="11.140625" style="34" customWidth="1"/>
    <col min="2" max="2" width="24.42578125" customWidth="1"/>
    <col min="3" max="3" width="9.85546875" customWidth="1"/>
    <col min="4" max="4" width="6.5703125" customWidth="1"/>
    <col min="5" max="5" width="11.85546875" customWidth="1"/>
    <col min="6" max="6" width="6.42578125" customWidth="1"/>
    <col min="7" max="7" width="6" customWidth="1"/>
    <col min="8" max="8" width="7.5703125" customWidth="1"/>
    <col min="9" max="9" width="9.42578125" customWidth="1"/>
    <col min="10" max="10" width="11" bestFit="1" customWidth="1"/>
    <col min="11" max="11" width="16.7109375" bestFit="1" customWidth="1"/>
  </cols>
  <sheetData>
    <row r="2" spans="2:2" x14ac:dyDescent="0.25">
      <c r="B2" s="33"/>
    </row>
    <row r="3" spans="2:2" x14ac:dyDescent="0.25">
      <c r="B3" s="33"/>
    </row>
    <row r="4" spans="2:2" x14ac:dyDescent="0.25">
      <c r="B4" s="33"/>
    </row>
    <row r="5" spans="2:2" x14ac:dyDescent="0.25">
      <c r="B5" s="33"/>
    </row>
    <row r="6" spans="2:2" x14ac:dyDescent="0.25">
      <c r="B6" s="33"/>
    </row>
    <row r="7" spans="2:2" x14ac:dyDescent="0.25">
      <c r="B7" s="33"/>
    </row>
    <row r="8" spans="2:2" x14ac:dyDescent="0.25">
      <c r="B8" s="33"/>
    </row>
    <row r="9" spans="2:2" x14ac:dyDescent="0.25">
      <c r="B9" s="33"/>
    </row>
    <row r="10" spans="2:2" x14ac:dyDescent="0.25">
      <c r="B10" s="33"/>
    </row>
    <row r="11" spans="2:2" x14ac:dyDescent="0.25">
      <c r="B11" s="33"/>
    </row>
    <row r="12" spans="2:2" x14ac:dyDescent="0.25">
      <c r="B12" s="33"/>
    </row>
    <row r="13" spans="2:2" x14ac:dyDescent="0.25">
      <c r="B13" s="33"/>
    </row>
    <row r="14" spans="2:2" x14ac:dyDescent="0.25">
      <c r="B14" s="33"/>
    </row>
    <row r="15" spans="2:2" x14ac:dyDescent="0.25">
      <c r="B15" s="33"/>
    </row>
    <row r="16" spans="2:2" x14ac:dyDescent="0.25">
      <c r="B16" s="33"/>
    </row>
    <row r="17" spans="2:2" x14ac:dyDescent="0.25">
      <c r="B17" s="33"/>
    </row>
    <row r="18" spans="2:2" x14ac:dyDescent="0.25">
      <c r="B18" s="33"/>
    </row>
    <row r="19" spans="2:2" x14ac:dyDescent="0.25">
      <c r="B19" s="33"/>
    </row>
    <row r="20" spans="2:2" x14ac:dyDescent="0.25">
      <c r="B20" s="33"/>
    </row>
    <row r="21" spans="2:2" x14ac:dyDescent="0.25">
      <c r="B21" s="33"/>
    </row>
    <row r="22" spans="2:2" x14ac:dyDescent="0.25">
      <c r="B22" s="33"/>
    </row>
    <row r="23" spans="2:2" x14ac:dyDescent="0.25">
      <c r="B23" s="33"/>
    </row>
    <row r="24" spans="2:2" x14ac:dyDescent="0.25">
      <c r="B24" s="33"/>
    </row>
    <row r="25" spans="2:2" x14ac:dyDescent="0.25">
      <c r="B25" s="33"/>
    </row>
    <row r="26" spans="2:2" x14ac:dyDescent="0.25">
      <c r="B26" s="33"/>
    </row>
    <row r="27" spans="2:2" x14ac:dyDescent="0.25">
      <c r="B27" s="33"/>
    </row>
    <row r="28" spans="2:2" x14ac:dyDescent="0.25">
      <c r="B28" s="33"/>
    </row>
    <row r="29" spans="2:2" x14ac:dyDescent="0.25">
      <c r="B29" s="33"/>
    </row>
    <row r="30" spans="2:2" x14ac:dyDescent="0.25">
      <c r="B30" s="33"/>
    </row>
    <row r="31" spans="2:2" x14ac:dyDescent="0.25">
      <c r="B31" s="33"/>
    </row>
    <row r="32" spans="2:2" x14ac:dyDescent="0.25">
      <c r="B32" s="33"/>
    </row>
    <row r="33" spans="2:2" x14ac:dyDescent="0.25">
      <c r="B33" s="33"/>
    </row>
    <row r="34" spans="2:2" x14ac:dyDescent="0.25">
      <c r="B34" s="33"/>
    </row>
    <row r="35" spans="2:2" x14ac:dyDescent="0.25">
      <c r="B35" s="33"/>
    </row>
    <row r="36" spans="2:2" x14ac:dyDescent="0.25">
      <c r="B36" s="33"/>
    </row>
    <row r="37" spans="2:2" x14ac:dyDescent="0.25">
      <c r="B37" s="33"/>
    </row>
    <row r="38" spans="2:2" x14ac:dyDescent="0.25">
      <c r="B38" s="33"/>
    </row>
    <row r="39" spans="2:2" x14ac:dyDescent="0.25">
      <c r="B39" s="33"/>
    </row>
    <row r="40" spans="2:2" x14ac:dyDescent="0.25">
      <c r="B40" s="33"/>
    </row>
    <row r="41" spans="2:2" x14ac:dyDescent="0.25">
      <c r="B41" s="33"/>
    </row>
    <row r="42" spans="2:2" x14ac:dyDescent="0.25">
      <c r="B42" s="33"/>
    </row>
    <row r="43" spans="2:2" x14ac:dyDescent="0.25">
      <c r="B43" s="33"/>
    </row>
    <row r="44" spans="2:2" x14ac:dyDescent="0.25">
      <c r="B44" s="33"/>
    </row>
    <row r="45" spans="2:2" x14ac:dyDescent="0.25">
      <c r="B45" s="33"/>
    </row>
    <row r="46" spans="2:2" x14ac:dyDescent="0.25">
      <c r="B46" s="33"/>
    </row>
    <row r="47" spans="2:2" x14ac:dyDescent="0.25">
      <c r="B47" s="33"/>
    </row>
    <row r="48" spans="2:2" x14ac:dyDescent="0.25">
      <c r="B48" s="33"/>
    </row>
    <row r="49" spans="2:2" x14ac:dyDescent="0.25">
      <c r="B49" s="33"/>
    </row>
    <row r="50" spans="2:2" x14ac:dyDescent="0.25">
      <c r="B50" s="33"/>
    </row>
    <row r="51" spans="2:2" x14ac:dyDescent="0.25">
      <c r="B51" s="33"/>
    </row>
    <row r="52" spans="2:2" x14ac:dyDescent="0.25">
      <c r="B52" s="33"/>
    </row>
    <row r="53" spans="2:2" x14ac:dyDescent="0.25">
      <c r="B53" s="33"/>
    </row>
    <row r="54" spans="2:2" x14ac:dyDescent="0.25">
      <c r="B54" s="33"/>
    </row>
    <row r="55" spans="2:2" x14ac:dyDescent="0.25">
      <c r="B55" s="33"/>
    </row>
    <row r="56" spans="2:2" x14ac:dyDescent="0.25">
      <c r="B56" s="33"/>
    </row>
    <row r="57" spans="2:2" x14ac:dyDescent="0.25">
      <c r="B57" s="33"/>
    </row>
    <row r="58" spans="2:2" x14ac:dyDescent="0.25">
      <c r="B58" s="33"/>
    </row>
    <row r="59" spans="2:2" x14ac:dyDescent="0.25">
      <c r="B59" s="33"/>
    </row>
    <row r="60" spans="2:2" x14ac:dyDescent="0.25">
      <c r="B60" s="33"/>
    </row>
    <row r="61" spans="2:2" x14ac:dyDescent="0.25">
      <c r="B61" s="33"/>
    </row>
    <row r="62" spans="2:2" x14ac:dyDescent="0.25">
      <c r="B62" s="33"/>
    </row>
    <row r="63" spans="2:2" x14ac:dyDescent="0.25">
      <c r="B63" s="33"/>
    </row>
    <row r="64" spans="2:2" x14ac:dyDescent="0.25">
      <c r="B64" s="33"/>
    </row>
    <row r="65" spans="2:2" x14ac:dyDescent="0.25">
      <c r="B65" s="33"/>
    </row>
    <row r="66" spans="2:2" x14ac:dyDescent="0.25">
      <c r="B66" s="33"/>
    </row>
    <row r="67" spans="2:2" x14ac:dyDescent="0.25">
      <c r="B67" s="33"/>
    </row>
    <row r="68" spans="2:2" x14ac:dyDescent="0.25">
      <c r="B68" s="33"/>
    </row>
    <row r="69" spans="2:2" x14ac:dyDescent="0.25">
      <c r="B69" s="33"/>
    </row>
    <row r="70" spans="2:2" x14ac:dyDescent="0.25">
      <c r="B70" s="33"/>
    </row>
    <row r="71" spans="2:2" x14ac:dyDescent="0.25">
      <c r="B71" s="33"/>
    </row>
    <row r="72" spans="2:2" x14ac:dyDescent="0.25">
      <c r="B72" s="33"/>
    </row>
    <row r="73" spans="2:2" x14ac:dyDescent="0.25">
      <c r="B73" s="33"/>
    </row>
    <row r="74" spans="2:2" x14ac:dyDescent="0.25">
      <c r="B74" s="33"/>
    </row>
    <row r="75" spans="2:2" x14ac:dyDescent="0.25">
      <c r="B75" s="33"/>
    </row>
    <row r="76" spans="2:2" x14ac:dyDescent="0.25">
      <c r="B76" s="33"/>
    </row>
    <row r="77" spans="2:2" x14ac:dyDescent="0.25">
      <c r="B77" s="33"/>
    </row>
    <row r="78" spans="2:2" x14ac:dyDescent="0.25">
      <c r="B78" s="33"/>
    </row>
    <row r="79" spans="2:2" x14ac:dyDescent="0.25">
      <c r="B79" s="33"/>
    </row>
    <row r="80" spans="2:2" x14ac:dyDescent="0.25">
      <c r="B80" s="33"/>
    </row>
    <row r="81" spans="2:2" x14ac:dyDescent="0.25">
      <c r="B81" s="33"/>
    </row>
    <row r="82" spans="2:2" x14ac:dyDescent="0.25">
      <c r="B82" s="33"/>
    </row>
    <row r="83" spans="2:2" x14ac:dyDescent="0.25">
      <c r="B83" s="33"/>
    </row>
    <row r="84" spans="2:2" x14ac:dyDescent="0.25">
      <c r="B84" s="33"/>
    </row>
    <row r="85" spans="2:2" x14ac:dyDescent="0.25">
      <c r="B85" s="33"/>
    </row>
    <row r="86" spans="2:2" x14ac:dyDescent="0.25">
      <c r="B86" s="33"/>
    </row>
    <row r="87" spans="2:2" x14ac:dyDescent="0.25">
      <c r="B87" s="33"/>
    </row>
    <row r="88" spans="2:2" x14ac:dyDescent="0.25">
      <c r="B88" s="33"/>
    </row>
    <row r="89" spans="2:2" x14ac:dyDescent="0.25">
      <c r="B89" s="33"/>
    </row>
    <row r="90" spans="2:2" x14ac:dyDescent="0.25">
      <c r="B90" s="33"/>
    </row>
    <row r="91" spans="2:2" x14ac:dyDescent="0.25">
      <c r="B91" s="33"/>
    </row>
    <row r="92" spans="2:2" x14ac:dyDescent="0.25">
      <c r="B92" s="33"/>
    </row>
    <row r="93" spans="2:2" x14ac:dyDescent="0.25">
      <c r="B93" s="33"/>
    </row>
    <row r="94" spans="2:2" x14ac:dyDescent="0.25">
      <c r="B94" s="33"/>
    </row>
    <row r="95" spans="2:2" x14ac:dyDescent="0.25">
      <c r="B95" s="33"/>
    </row>
    <row r="96" spans="2:2" x14ac:dyDescent="0.25">
      <c r="B96" s="33"/>
    </row>
    <row r="97" spans="2:2" x14ac:dyDescent="0.25">
      <c r="B97" s="33"/>
    </row>
    <row r="98" spans="2:2" x14ac:dyDescent="0.25">
      <c r="B98" s="33"/>
    </row>
    <row r="99" spans="2:2" x14ac:dyDescent="0.25">
      <c r="B99" s="33"/>
    </row>
    <row r="100" spans="2:2" x14ac:dyDescent="0.25">
      <c r="B100" s="33"/>
    </row>
    <row r="101" spans="2:2" x14ac:dyDescent="0.25">
      <c r="B101" s="33"/>
    </row>
    <row r="102" spans="2:2" x14ac:dyDescent="0.25">
      <c r="B102" s="33"/>
    </row>
    <row r="103" spans="2:2" x14ac:dyDescent="0.25">
      <c r="B103" s="33"/>
    </row>
    <row r="104" spans="2:2" x14ac:dyDescent="0.25">
      <c r="B104" s="33"/>
    </row>
    <row r="105" spans="2:2" x14ac:dyDescent="0.25">
      <c r="B105" s="33"/>
    </row>
    <row r="106" spans="2:2" x14ac:dyDescent="0.25">
      <c r="B106" s="33"/>
    </row>
    <row r="107" spans="2:2" x14ac:dyDescent="0.25">
      <c r="B107" s="33"/>
    </row>
    <row r="108" spans="2:2" x14ac:dyDescent="0.25">
      <c r="B108" s="33"/>
    </row>
    <row r="109" spans="2:2" x14ac:dyDescent="0.25">
      <c r="B109" s="33"/>
    </row>
    <row r="110" spans="2:2" x14ac:dyDescent="0.25">
      <c r="B110" s="33"/>
    </row>
    <row r="111" spans="2:2" x14ac:dyDescent="0.25">
      <c r="B111" s="33"/>
    </row>
    <row r="112" spans="2:2" x14ac:dyDescent="0.25">
      <c r="B112" s="33"/>
    </row>
    <row r="113" spans="2:2" x14ac:dyDescent="0.25">
      <c r="B113" s="33"/>
    </row>
    <row r="114" spans="2:2" x14ac:dyDescent="0.25">
      <c r="B114" s="33"/>
    </row>
    <row r="115" spans="2:2" x14ac:dyDescent="0.25">
      <c r="B115" s="33"/>
    </row>
    <row r="116" spans="2:2" x14ac:dyDescent="0.25">
      <c r="B116" s="33"/>
    </row>
    <row r="117" spans="2:2" x14ac:dyDescent="0.25">
      <c r="B117" s="33"/>
    </row>
    <row r="118" spans="2:2" x14ac:dyDescent="0.25">
      <c r="B118" s="33"/>
    </row>
    <row r="119" spans="2:2" x14ac:dyDescent="0.25">
      <c r="B119" s="33"/>
    </row>
    <row r="120" spans="2:2" x14ac:dyDescent="0.25">
      <c r="B120" s="33"/>
    </row>
    <row r="121" spans="2:2" x14ac:dyDescent="0.25">
      <c r="B121" s="33"/>
    </row>
    <row r="122" spans="2:2" x14ac:dyDescent="0.25">
      <c r="B122" s="33"/>
    </row>
    <row r="123" spans="2:2" x14ac:dyDescent="0.25">
      <c r="B123" s="33"/>
    </row>
    <row r="124" spans="2:2" x14ac:dyDescent="0.25">
      <c r="B124" s="33"/>
    </row>
    <row r="125" spans="2:2" x14ac:dyDescent="0.25">
      <c r="B125" s="33"/>
    </row>
    <row r="126" spans="2:2" x14ac:dyDescent="0.25">
      <c r="B126" s="33"/>
    </row>
    <row r="127" spans="2:2" x14ac:dyDescent="0.25">
      <c r="B127" s="33"/>
    </row>
    <row r="128" spans="2:2" x14ac:dyDescent="0.25">
      <c r="B128" s="33"/>
    </row>
    <row r="129" spans="2:2" x14ac:dyDescent="0.25">
      <c r="B129" s="33"/>
    </row>
    <row r="130" spans="2:2" x14ac:dyDescent="0.25">
      <c r="B130" s="33"/>
    </row>
    <row r="131" spans="2:2" x14ac:dyDescent="0.25">
      <c r="B131" s="33"/>
    </row>
    <row r="132" spans="2:2" x14ac:dyDescent="0.25">
      <c r="B132" s="33"/>
    </row>
    <row r="133" spans="2:2" x14ac:dyDescent="0.25">
      <c r="B133" s="33"/>
    </row>
    <row r="134" spans="2:2" x14ac:dyDescent="0.25">
      <c r="B134" s="33"/>
    </row>
    <row r="135" spans="2:2" x14ac:dyDescent="0.25">
      <c r="B135" s="33"/>
    </row>
    <row r="136" spans="2:2" x14ac:dyDescent="0.25">
      <c r="B136" s="33"/>
    </row>
    <row r="137" spans="2:2" x14ac:dyDescent="0.25">
      <c r="B137" s="33"/>
    </row>
    <row r="138" spans="2:2" x14ac:dyDescent="0.25">
      <c r="B138" s="33"/>
    </row>
    <row r="139" spans="2:2" x14ac:dyDescent="0.25">
      <c r="B139" s="33"/>
    </row>
    <row r="140" spans="2:2" x14ac:dyDescent="0.25">
      <c r="B140" s="33"/>
    </row>
    <row r="141" spans="2:2" x14ac:dyDescent="0.25">
      <c r="B141" s="33"/>
    </row>
    <row r="142" spans="2:2" x14ac:dyDescent="0.25">
      <c r="B142" s="33"/>
    </row>
    <row r="143" spans="2:2" x14ac:dyDescent="0.25">
      <c r="B143" s="33"/>
    </row>
    <row r="144" spans="2:2" x14ac:dyDescent="0.25">
      <c r="B144" s="33"/>
    </row>
    <row r="145" spans="2:2" x14ac:dyDescent="0.25">
      <c r="B145" s="33"/>
    </row>
    <row r="146" spans="2:2" x14ac:dyDescent="0.25">
      <c r="B146" s="33"/>
    </row>
    <row r="147" spans="2:2" x14ac:dyDescent="0.25">
      <c r="B147" s="33"/>
    </row>
    <row r="148" spans="2:2" x14ac:dyDescent="0.25">
      <c r="B148" s="33"/>
    </row>
    <row r="149" spans="2:2" x14ac:dyDescent="0.25">
      <c r="B149" s="33"/>
    </row>
    <row r="150" spans="2:2" x14ac:dyDescent="0.25">
      <c r="B150" s="33"/>
    </row>
    <row r="151" spans="2:2" x14ac:dyDescent="0.25">
      <c r="B151" s="33"/>
    </row>
    <row r="152" spans="2:2" x14ac:dyDescent="0.25">
      <c r="B152" s="33"/>
    </row>
    <row r="153" spans="2:2" x14ac:dyDescent="0.25">
      <c r="B153" s="33"/>
    </row>
    <row r="154" spans="2:2" x14ac:dyDescent="0.25">
      <c r="B154" s="33"/>
    </row>
    <row r="155" spans="2:2" x14ac:dyDescent="0.25">
      <c r="B155" s="33"/>
    </row>
    <row r="156" spans="2:2" x14ac:dyDescent="0.25">
      <c r="B156" s="33"/>
    </row>
    <row r="157" spans="2:2" x14ac:dyDescent="0.25">
      <c r="B157" s="33"/>
    </row>
    <row r="158" spans="2:2" x14ac:dyDescent="0.25">
      <c r="B158" s="33"/>
    </row>
    <row r="159" spans="2:2" x14ac:dyDescent="0.25">
      <c r="B159" s="33"/>
    </row>
    <row r="160" spans="2:2" x14ac:dyDescent="0.25">
      <c r="B160" s="33"/>
    </row>
    <row r="161" spans="2:2" x14ac:dyDescent="0.25">
      <c r="B161" s="33"/>
    </row>
    <row r="162" spans="2:2" x14ac:dyDescent="0.25">
      <c r="B162" s="33"/>
    </row>
    <row r="163" spans="2:2" x14ac:dyDescent="0.25">
      <c r="B163" s="33"/>
    </row>
    <row r="164" spans="2:2" x14ac:dyDescent="0.25">
      <c r="B164" s="33"/>
    </row>
    <row r="165" spans="2:2" x14ac:dyDescent="0.25">
      <c r="B165" s="33"/>
    </row>
    <row r="166" spans="2:2" x14ac:dyDescent="0.25">
      <c r="B166" s="33"/>
    </row>
    <row r="167" spans="2:2" x14ac:dyDescent="0.25">
      <c r="B167" s="33"/>
    </row>
    <row r="168" spans="2:2" x14ac:dyDescent="0.25">
      <c r="B168" s="33"/>
    </row>
    <row r="169" spans="2:2" x14ac:dyDescent="0.25">
      <c r="B169" s="33"/>
    </row>
    <row r="170" spans="2:2" x14ac:dyDescent="0.25">
      <c r="B170" s="33"/>
    </row>
    <row r="171" spans="2:2" x14ac:dyDescent="0.25">
      <c r="B171" s="33"/>
    </row>
    <row r="172" spans="2:2" x14ac:dyDescent="0.25">
      <c r="B172" s="33"/>
    </row>
    <row r="173" spans="2:2" x14ac:dyDescent="0.25">
      <c r="B173" s="33"/>
    </row>
    <row r="174" spans="2:2" x14ac:dyDescent="0.25">
      <c r="B174" s="33"/>
    </row>
    <row r="175" spans="2:2" x14ac:dyDescent="0.25">
      <c r="B175" s="33"/>
    </row>
    <row r="176" spans="2:2" x14ac:dyDescent="0.25">
      <c r="B176" s="33"/>
    </row>
    <row r="177" spans="2:2" x14ac:dyDescent="0.25">
      <c r="B177" s="33"/>
    </row>
    <row r="178" spans="2:2" x14ac:dyDescent="0.25">
      <c r="B178" s="33"/>
    </row>
    <row r="179" spans="2:2" x14ac:dyDescent="0.25">
      <c r="B179" s="33"/>
    </row>
    <row r="180" spans="2:2" x14ac:dyDescent="0.25">
      <c r="B180" s="33"/>
    </row>
    <row r="181" spans="2:2" x14ac:dyDescent="0.25">
      <c r="B181" s="33"/>
    </row>
    <row r="182" spans="2:2" x14ac:dyDescent="0.25">
      <c r="B182" s="33"/>
    </row>
    <row r="183" spans="2:2" x14ac:dyDescent="0.25">
      <c r="B183" s="33"/>
    </row>
    <row r="184" spans="2:2" x14ac:dyDescent="0.25">
      <c r="B184" s="33"/>
    </row>
    <row r="185" spans="2:2" x14ac:dyDescent="0.25">
      <c r="B185" s="33"/>
    </row>
    <row r="186" spans="2:2" x14ac:dyDescent="0.25">
      <c r="B186" s="33"/>
    </row>
    <row r="187" spans="2:2" x14ac:dyDescent="0.25">
      <c r="B187" s="33"/>
    </row>
    <row r="188" spans="2:2" x14ac:dyDescent="0.25">
      <c r="B188" s="33"/>
    </row>
    <row r="189" spans="2:2" x14ac:dyDescent="0.25">
      <c r="B189" s="33"/>
    </row>
    <row r="190" spans="2:2" x14ac:dyDescent="0.25">
      <c r="B190" s="33"/>
    </row>
    <row r="191" spans="2:2" x14ac:dyDescent="0.25">
      <c r="B191" s="33"/>
    </row>
    <row r="192" spans="2:2" x14ac:dyDescent="0.25">
      <c r="B192" s="33"/>
    </row>
    <row r="193" spans="2:2" x14ac:dyDescent="0.25">
      <c r="B193" s="33"/>
    </row>
    <row r="194" spans="2:2" x14ac:dyDescent="0.25">
      <c r="B194" s="33"/>
    </row>
    <row r="195" spans="2:2" x14ac:dyDescent="0.25">
      <c r="B195" s="33"/>
    </row>
    <row r="196" spans="2:2" x14ac:dyDescent="0.25">
      <c r="B196" s="33"/>
    </row>
    <row r="197" spans="2:2" x14ac:dyDescent="0.25">
      <c r="B197" s="33"/>
    </row>
    <row r="198" spans="2:2" x14ac:dyDescent="0.25">
      <c r="B198" s="33"/>
    </row>
    <row r="199" spans="2:2" x14ac:dyDescent="0.25">
      <c r="B199" s="33"/>
    </row>
    <row r="200" spans="2:2" x14ac:dyDescent="0.25">
      <c r="B200" s="33"/>
    </row>
    <row r="201" spans="2:2" x14ac:dyDescent="0.25">
      <c r="B201" s="33"/>
    </row>
    <row r="202" spans="2:2" x14ac:dyDescent="0.25">
      <c r="B202" s="33"/>
    </row>
    <row r="203" spans="2:2" x14ac:dyDescent="0.25">
      <c r="B203" s="33"/>
    </row>
    <row r="204" spans="2:2" x14ac:dyDescent="0.25">
      <c r="B204" s="33"/>
    </row>
    <row r="205" spans="2:2" x14ac:dyDescent="0.25">
      <c r="B205" s="33"/>
    </row>
    <row r="206" spans="2:2" x14ac:dyDescent="0.25">
      <c r="B206" s="33"/>
    </row>
    <row r="207" spans="2:2" x14ac:dyDescent="0.25">
      <c r="B207" s="33"/>
    </row>
    <row r="208" spans="2:2" x14ac:dyDescent="0.25">
      <c r="B208" s="33"/>
    </row>
    <row r="209" spans="2:2" x14ac:dyDescent="0.25">
      <c r="B209" s="33"/>
    </row>
    <row r="210" spans="2:2" x14ac:dyDescent="0.25">
      <c r="B210" s="33"/>
    </row>
    <row r="211" spans="2:2" x14ac:dyDescent="0.25">
      <c r="B211" s="33"/>
    </row>
    <row r="212" spans="2:2" x14ac:dyDescent="0.25">
      <c r="B212" s="33"/>
    </row>
    <row r="213" spans="2:2" x14ac:dyDescent="0.25">
      <c r="B213" s="33"/>
    </row>
    <row r="214" spans="2:2" x14ac:dyDescent="0.25">
      <c r="B214" s="33"/>
    </row>
    <row r="215" spans="2:2" x14ac:dyDescent="0.25">
      <c r="B215" s="33"/>
    </row>
    <row r="216" spans="2:2" x14ac:dyDescent="0.25">
      <c r="B216" s="33"/>
    </row>
    <row r="217" spans="2:2" x14ac:dyDescent="0.25">
      <c r="B217" s="33"/>
    </row>
    <row r="218" spans="2:2" x14ac:dyDescent="0.25">
      <c r="B218" s="33"/>
    </row>
    <row r="219" spans="2:2" x14ac:dyDescent="0.25">
      <c r="B219" s="33"/>
    </row>
    <row r="220" spans="2:2" x14ac:dyDescent="0.25">
      <c r="B220" s="33"/>
    </row>
    <row r="221" spans="2:2" x14ac:dyDescent="0.25">
      <c r="B221" s="33"/>
    </row>
    <row r="222" spans="2:2" x14ac:dyDescent="0.25">
      <c r="B222" s="33"/>
    </row>
    <row r="223" spans="2:2" x14ac:dyDescent="0.25">
      <c r="B223" s="33"/>
    </row>
    <row r="224" spans="2:2" x14ac:dyDescent="0.25">
      <c r="B224" s="33"/>
    </row>
    <row r="225" spans="2:2" x14ac:dyDescent="0.25">
      <c r="B225" s="33"/>
    </row>
    <row r="226" spans="2:2" x14ac:dyDescent="0.25">
      <c r="B226" s="33"/>
    </row>
    <row r="227" spans="2:2" x14ac:dyDescent="0.25">
      <c r="B227" s="33"/>
    </row>
    <row r="228" spans="2:2" x14ac:dyDescent="0.25">
      <c r="B228" s="33"/>
    </row>
    <row r="229" spans="2:2" x14ac:dyDescent="0.25">
      <c r="B229" s="33"/>
    </row>
    <row r="230" spans="2:2" x14ac:dyDescent="0.25">
      <c r="B230" s="33"/>
    </row>
    <row r="231" spans="2:2" x14ac:dyDescent="0.25">
      <c r="B231" s="33"/>
    </row>
    <row r="232" spans="2:2" x14ac:dyDescent="0.25">
      <c r="B232" s="33"/>
    </row>
    <row r="233" spans="2:2" x14ac:dyDescent="0.25">
      <c r="B233" s="33"/>
    </row>
    <row r="234" spans="2:2" x14ac:dyDescent="0.25">
      <c r="B234" s="33"/>
    </row>
    <row r="235" spans="2:2" x14ac:dyDescent="0.25">
      <c r="B235" s="33"/>
    </row>
  </sheetData>
  <sortState xmlns:xlrd2="http://schemas.microsoft.com/office/spreadsheetml/2017/richdata2" ref="A1:M245">
    <sortCondition ref="E1:E245"/>
    <sortCondition ref="F1:F245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69FAB0-906C-4B68-874F-8AA126B952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00</vt:lpstr>
      <vt:lpstr>รวมสูตร</vt:lpstr>
      <vt:lpstr>TD114 - 2026-03-29T171836 956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SAYUMPORN HONGTO</dc:creator>
  <cp:lastModifiedBy>Warichanon Keawkum</cp:lastModifiedBy>
  <cp:lastPrinted>2025-10-26T09:55:50Z</cp:lastPrinted>
  <dcterms:created xsi:type="dcterms:W3CDTF">2023-01-15T07:07:58Z</dcterms:created>
  <dcterms:modified xsi:type="dcterms:W3CDTF">2026-04-18T10:03:28Z</dcterms:modified>
</cp:coreProperties>
</file>